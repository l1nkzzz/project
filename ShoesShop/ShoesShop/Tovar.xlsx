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Вариант 6\Модуль 1\Прил_2_ОЗ_КОД 09.02.07-2-2026-М1\import\"/>
    </mc:Choice>
  </mc:AlternateContent>
  <xr:revisionPtr revIDLastSave="0" documentId="13_ncr:1_{E4783B93-244E-45E8-A3DF-6A9867FF48C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товар" sheetId="1" r:id="rId1"/>
    <sheet name="юзер импорт" sheetId="2" r:id="rId2"/>
    <sheet name="заказ" sheetId="3" r:id="rId3"/>
    <sheet name="пункты выдачи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" i="3" l="1"/>
  <c r="G55" i="3"/>
  <c r="G54" i="3"/>
  <c r="G53" i="3"/>
  <c r="G52" i="3"/>
  <c r="G51" i="3"/>
  <c r="G50" i="3"/>
  <c r="G49" i="3"/>
  <c r="G48" i="3"/>
  <c r="G47" i="3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<sst xmlns="http://schemas.openxmlformats.org/spreadsheetml/2006/main" count="276" uniqueCount="186">
  <si>
    <t>А112Т4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</si>
  <si>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</si>
  <si>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</si>
  <si>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</si>
  <si>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</si>
  <si>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</si>
  <si>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</si>
  <si>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</si>
  <si>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</si>
  <si>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</si>
  <si>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</si>
  <si>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</si>
  <si>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</si>
  <si>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</si>
  <si>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</si>
  <si>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</si>
  <si>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</si>
  <si>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</si>
  <si>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</si>
  <si>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</si>
  <si>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</si>
  <si>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</si>
  <si>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</si>
  <si>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</si>
  <si>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</si>
  <si>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</si>
  <si>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</si>
  <si>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</si>
  <si>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</si>
  <si>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</si>
  <si>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</si>
  <si>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</si>
  <si>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</si>
  <si>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</si>
  <si>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</si>
  <si>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</si>
  <si>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</si>
  <si>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</si>
  <si>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</si>
  <si>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</si>
  <si>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</si>
  <si>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</si>
  <si>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</si>
  <si>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</si>
  <si>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</si>
  <si>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</si>
  <si>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</si>
  <si>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</si>
  <si>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</si>
  <si>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</si>
  <si>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</si>
  <si>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</si>
  <si>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</si>
  <si>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</si>
  <si>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</si>
  <si>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</si>
  <si>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</si>
  <si>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</si>
  <si>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</si>
  <si>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</si>
  <si>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</si>
  <si>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</si>
  <si>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</si>
  <si>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</si>
  <si>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</si>
  <si>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</si>
  <si>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</si>
  <si>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AtnDjr</t>
  </si>
  <si>
    <t>4np6se@mail.com</t>
  </si>
  <si>
    <t>Старикова Елена Павловна</t>
  </si>
  <si>
    <t>gynQMT</t>
  </si>
  <si>
    <t>1qz4kw@mail.com</t>
  </si>
  <si>
    <t>Ворсин Петр Евгеньевич</t>
  </si>
  <si>
    <t>LdNyos</t>
  </si>
  <si>
    <t>ptec8ym@yahoo.com</t>
  </si>
  <si>
    <t>Ситдикова Елена Анатольевна</t>
  </si>
  <si>
    <t>rwVDh9</t>
  </si>
  <si>
    <t>5d4zbu@tutanota.com</t>
  </si>
  <si>
    <t>Михайлюк Анна Вячеславовна</t>
  </si>
  <si>
    <t>RSbvHv</t>
  </si>
  <si>
    <t>wpmrc3do@tutanota.com</t>
  </si>
  <si>
    <t>YOyhfR</t>
  </si>
  <si>
    <t>tjde7c@yahoo.com</t>
  </si>
  <si>
    <t>8ntwUp</t>
  </si>
  <si>
    <t>1diph5e@tutanota.com</t>
  </si>
  <si>
    <t>Степанов Михаил Артёмович</t>
  </si>
  <si>
    <t>JlFRCZ</t>
  </si>
  <si>
    <t>yzls62@outlook.com</t>
  </si>
  <si>
    <t>Одинцов Серафим Артёмович</t>
  </si>
  <si>
    <t>2L6KZG</t>
  </si>
  <si>
    <t>uth4iz@mail.com</t>
  </si>
  <si>
    <t>Сазонов Руслан Германович</t>
  </si>
  <si>
    <t>uzWC67</t>
  </si>
  <si>
    <t>94d5ous@gmail.com</t>
  </si>
  <si>
    <t>Никифорова Весения Николаевна</t>
  </si>
  <si>
    <t>NumberOfOrders</t>
  </si>
  <si>
    <t>ArticleOfOrder</t>
  </si>
  <si>
    <t>DateOfOrder</t>
  </si>
  <si>
    <t>DateOfDelivery</t>
  </si>
  <si>
    <t>AdressOfPick-upPoint</t>
  </si>
  <si>
    <t>NameOfAuthorizedClient</t>
  </si>
  <si>
    <t>CodeForTaking</t>
  </si>
  <si>
    <t>StatusOfOrder</t>
  </si>
  <si>
    <t>Name</t>
  </si>
  <si>
    <t>Login</t>
  </si>
  <si>
    <t>Password</t>
  </si>
  <si>
    <t>Article</t>
  </si>
  <si>
    <t>ProductName</t>
  </si>
  <si>
    <t>UnitOfMeasurement</t>
  </si>
  <si>
    <t>Price</t>
  </si>
  <si>
    <t>Supplier</t>
  </si>
  <si>
    <t>Manufactures</t>
  </si>
  <si>
    <t>ProductCategory</t>
  </si>
  <si>
    <t>ActualDiscount</t>
  </si>
  <si>
    <t>QuantityOnWarehouse</t>
  </si>
  <si>
    <t>Description</t>
  </si>
  <si>
    <t>Photo</t>
  </si>
  <si>
    <t xml:space="preserve"> Подгорная</t>
  </si>
  <si>
    <t xml:space="preserve"> Шоссейная</t>
  </si>
  <si>
    <t xml:space="preserve"> Зеленая</t>
  </si>
  <si>
    <t xml:space="preserve"> Маяковского</t>
  </si>
  <si>
    <t xml:space="preserve"> Светлая</t>
  </si>
  <si>
    <t xml:space="preserve"> Вишневая</t>
  </si>
  <si>
    <t xml:space="preserve"> Цветочная</t>
  </si>
  <si>
    <t xml:space="preserve"> Коммунистическая</t>
  </si>
  <si>
    <t xml:space="preserve"> Спортивная</t>
  </si>
  <si>
    <t xml:space="preserve"> Гоголя</t>
  </si>
  <si>
    <t xml:space="preserve"> Северная</t>
  </si>
  <si>
    <t xml:space="preserve"> Молодежная</t>
  </si>
  <si>
    <t xml:space="preserve"> Новая</t>
  </si>
  <si>
    <t xml:space="preserve"> Октябрьская</t>
  </si>
  <si>
    <t xml:space="preserve"> Садовая</t>
  </si>
  <si>
    <t xml:space="preserve"> Фрунзе</t>
  </si>
  <si>
    <t xml:space="preserve"> Школьная</t>
  </si>
  <si>
    <t xml:space="preserve"> 8 Марта</t>
  </si>
  <si>
    <t xml:space="preserve"> Комсомольская</t>
  </si>
  <si>
    <t xml:space="preserve"> Чехова</t>
  </si>
  <si>
    <t xml:space="preserve"> Дзержинского</t>
  </si>
  <si>
    <t xml:space="preserve"> Набережная</t>
  </si>
  <si>
    <t xml:space="preserve"> Степная</t>
  </si>
  <si>
    <t xml:space="preserve"> Солнечная</t>
  </si>
  <si>
    <t xml:space="preserve"> Партизанская</t>
  </si>
  <si>
    <t xml:space="preserve"> Победы</t>
  </si>
  <si>
    <t xml:space="preserve"> Полевая</t>
  </si>
  <si>
    <t xml:space="preserve"> Клубная</t>
  </si>
  <si>
    <t xml:space="preserve"> Некрасова</t>
  </si>
  <si>
    <t xml:space="preserve"> Мичурина</t>
  </si>
  <si>
    <t xml:space="preserve"> Лесной</t>
  </si>
  <si>
    <t>Лесной</t>
  </si>
  <si>
    <t xml:space="preserve"> Лесной 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</si>
  <si>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</si>
  <si>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</si>
  <si>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</si>
  <si>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</si>
  <si>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</si>
  <si>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</si>
  <si>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</si>
  <si>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</si>
  <si>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</si>
  <si>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</si>
  <si>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</si>
  <si>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</si>
  <si>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</si>
  <si>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</si>
  <si>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</si>
  <si>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</si>
  <si>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</si>
  <si>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</si>
  <si>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</si>
  <si>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</si>
  <si>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</si>
  <si>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</si>
  <si>
    <t>СтепановМихаилАртёмович</t>
  </si>
  <si>
    <t>НикифороваВесенияНиколаевна</t>
  </si>
  <si>
    <t>СазоновРусланГерманович</t>
  </si>
  <si>
    <t>ОдинцовСерафимАртёмович</t>
  </si>
  <si>
    <t>А112Т4,2,F635R4,2</t>
  </si>
  <si>
    <t>H782T5,1,G783F5,1</t>
  </si>
  <si>
    <t>J384T6,10,D572U8,10</t>
  </si>
  <si>
    <t>F572H7,5,D329H3,4</t>
  </si>
  <si>
    <t>B320R5,5,G432E4,1</t>
  </si>
  <si>
    <t>S213E3,5,E482R4,5</t>
  </si>
  <si>
    <t>ВорсинПетрЕвгеньевич</t>
  </si>
  <si>
    <t>СтариковаЕленаПавловна</t>
  </si>
  <si>
    <t>МихайлюкАннаВячеславовна</t>
  </si>
  <si>
    <t>СитдиковаЕленаАнатольевна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</si>
</sst>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Helvetica"/>
      <family val="2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0" xfId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7" fillId="0" borderId="0" xfId="0" applyFont="1"/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zoomScale="55" zoomScaleNormal="55" workbookViewId="0">
      <selection activeCell="M37" sqref="M37"/>
    </sheetView>
  </sheetViews>
  <sheetFormatPr defaultColWidth="11.25" defaultRowHeight="15.75"/>
  <cols>
    <col min="1" max="1" width="9.25" bestFit="1" customWidth="1"/>
    <col min="2" max="2" width="14" bestFit="1" customWidth="1"/>
    <col min="3" max="3" width="20.75" bestFit="1" customWidth="1"/>
    <col min="4" max="4" width="7.125" customWidth="1"/>
    <col min="5" max="5" width="14" customWidth="1"/>
    <col min="6" max="6" width="15.625" bestFit="1" customWidth="1"/>
    <col min="7" max="7" width="16.25" bestFit="1" customWidth="1"/>
    <col min="8" max="8" width="14.875" bestFit="1" customWidth="1"/>
    <col min="9" max="9" width="23.125" bestFit="1" customWidth="1"/>
    <col min="10" max="10" width="65.375" bestFit="1" customWidth="1"/>
    <col min="11" max="11" width="13.25" bestFit="1" customWidth="1"/>
    <col min="12" max="12" width="9.875" style="13" bestFit="1" customWidth="1"/>
  </cols>
  <sheetData>
    <row r="1" spans="1:14" ht="44.25" customHeight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6"/>
    </row>
    <row r="2" spans="1:14" ht="35.25" customHeight="1">
      <c r="A2" s="2" t="s">
        <v>0</v>
      </c>
      <c r="B2" s="2" t="s">
        <v>1</v>
      </c>
      <c r="C2" s="2">
        <v>1</v>
      </c>
      <c r="D2" s="2">
        <v>4990</v>
      </c>
      <c r="E2" s="2">
        <v>1</v>
      </c>
      <c r="F2" s="2">
        <v>1</v>
      </c>
      <c r="G2" s="2">
        <v>1</v>
      </c>
      <c r="H2" s="2">
        <v>3</v>
      </c>
      <c r="I2" s="2">
        <v>6</v>
      </c>
      <c r="J2" s="2" t="s">
        <v>37</v>
      </c>
      <c r="K2" s="2" t="str">
        <f>"Res/"&amp;J2</f>
        <v>Res/Женские Ботинки демисезонные kari</v>
      </c>
      <c r="L2" s="17"/>
    </row>
    <row r="3" spans="1:14" ht="50.25" customHeight="1">
      <c r="A3" s="2" t="s">
        <v>2</v>
      </c>
      <c r="B3" s="2" t="s">
        <v>1</v>
      </c>
      <c r="C3" s="2">
        <v>1</v>
      </c>
      <c r="D3" s="2">
        <v>3244</v>
      </c>
      <c r="E3" s="2">
        <v>2</v>
      </c>
      <c r="F3" s="2">
        <v>2</v>
      </c>
      <c r="G3" s="2">
        <v>1</v>
      </c>
      <c r="H3" s="2">
        <v>2</v>
      </c>
      <c r="I3" s="2">
        <v>13</v>
      </c>
      <c r="J3" s="2" t="s">
        <v>38</v>
      </c>
      <c r="K3" s="2" t="str">
        <f t="shared" ref="K3" si="0">"Res/"&amp;J3</f>
        <v>Res/Ботинки Marco Tozzi женские демисезонные, размер 39, цвет бежевый</v>
      </c>
      <c r="L3" s="17"/>
    </row>
    <row r="4" spans="1:14" ht="51" customHeight="1">
      <c r="A4" s="2" t="s">
        <v>3</v>
      </c>
      <c r="B4" s="2" t="s">
        <v>4</v>
      </c>
      <c r="C4" s="2">
        <v>1</v>
      </c>
      <c r="D4" s="2">
        <v>4499</v>
      </c>
      <c r="E4" s="2">
        <v>1</v>
      </c>
      <c r="F4" s="2">
        <v>1</v>
      </c>
      <c r="G4" s="2">
        <v>2</v>
      </c>
      <c r="H4" s="2">
        <v>4</v>
      </c>
      <c r="I4" s="2">
        <v>5</v>
      </c>
      <c r="J4" s="2" t="s">
        <v>39</v>
      </c>
      <c r="K4" s="2" t="str">
        <f t="shared" ref="K4" si="1">"Res/"&amp;J4</f>
        <v>Res/Туфли kari мужские классика MYZ21AW-450A, размер 43, цвет: черный</v>
      </c>
      <c r="L4" s="17"/>
    </row>
    <row r="5" spans="1:14" ht="41.25" customHeight="1">
      <c r="A5" s="2" t="s">
        <v>5</v>
      </c>
      <c r="B5" s="2" t="s">
        <v>1</v>
      </c>
      <c r="C5" s="2">
        <v>1</v>
      </c>
      <c r="D5" s="2">
        <v>5900</v>
      </c>
      <c r="E5" s="2">
        <v>1</v>
      </c>
      <c r="F5" s="2">
        <v>3</v>
      </c>
      <c r="G5" s="2">
        <v>2</v>
      </c>
      <c r="H5" s="2">
        <v>2</v>
      </c>
      <c r="I5" s="2">
        <v>8</v>
      </c>
      <c r="J5" s="2" t="s">
        <v>40</v>
      </c>
      <c r="K5" s="2" t="str">
        <f t="shared" ref="K5" si="2">"Res/"&amp;J5</f>
        <v>Res/Мужские ботинки Рос-Обувь кожаные с натуральным мехом</v>
      </c>
      <c r="L5" s="17"/>
    </row>
    <row r="6" spans="1:14" ht="18" customHeight="1">
      <c r="A6" s="2" t="s">
        <v>6</v>
      </c>
      <c r="B6" s="2" t="s">
        <v>1</v>
      </c>
      <c r="C6" s="2">
        <v>1</v>
      </c>
      <c r="D6" s="2">
        <v>3800</v>
      </c>
      <c r="E6" s="2">
        <v>2</v>
      </c>
      <c r="F6" s="2">
        <v>4</v>
      </c>
      <c r="G6" s="2">
        <v>2</v>
      </c>
      <c r="H6" s="2">
        <v>2</v>
      </c>
      <c r="I6" s="2">
        <v>16</v>
      </c>
      <c r="J6" s="2" t="s">
        <v>41</v>
      </c>
      <c r="K6" s="2" t="str">
        <f t="shared" ref="K6" si="3">"Res/"&amp;J6</f>
        <v>Res/B3430/14 Полуботинки мужские Rieker</v>
      </c>
      <c r="L6" s="17"/>
    </row>
    <row r="7" spans="1:14" ht="53.25" customHeight="1">
      <c r="A7" s="2" t="s">
        <v>7</v>
      </c>
      <c r="B7" s="2" t="s">
        <v>8</v>
      </c>
      <c r="C7" s="2">
        <v>1</v>
      </c>
      <c r="D7" s="2">
        <v>4100</v>
      </c>
      <c r="E7" s="2">
        <v>2</v>
      </c>
      <c r="F7" s="2">
        <v>3</v>
      </c>
      <c r="G7" s="2">
        <v>2</v>
      </c>
      <c r="H7" s="2">
        <v>3</v>
      </c>
      <c r="I7" s="2">
        <v>6</v>
      </c>
      <c r="J7" s="2" t="s">
        <v>42</v>
      </c>
      <c r="K7" s="2" t="str">
        <f t="shared" ref="K7" si="4">"Res/"&amp;J7</f>
        <v>Res/129615-4 Кроссовки мужские</v>
      </c>
      <c r="L7" s="17"/>
    </row>
    <row r="8" spans="1:14" ht="42" customHeight="1">
      <c r="A8" s="2" t="s">
        <v>9</v>
      </c>
      <c r="B8" s="2" t="s">
        <v>4</v>
      </c>
      <c r="C8" s="2">
        <v>1</v>
      </c>
      <c r="D8" s="2">
        <v>2700</v>
      </c>
      <c r="E8" s="2">
        <v>1</v>
      </c>
      <c r="F8" s="2">
        <v>2</v>
      </c>
      <c r="G8" s="2">
        <v>1</v>
      </c>
      <c r="H8" s="2">
        <v>2</v>
      </c>
      <c r="I8" s="2">
        <v>14</v>
      </c>
      <c r="J8" s="2" t="s">
        <v>43</v>
      </c>
      <c r="K8" s="2" t="str">
        <f t="shared" ref="K8" si="5">"Res/"&amp;J8</f>
        <v>Res/Туфли Marco Tozzi женские летние, размер 39, цвет черный</v>
      </c>
      <c r="L8" s="17"/>
    </row>
    <row r="9" spans="1:14" ht="39" customHeight="1">
      <c r="A9" s="2" t="s">
        <v>10</v>
      </c>
      <c r="B9" s="2" t="s">
        <v>11</v>
      </c>
      <c r="C9" s="2">
        <v>1</v>
      </c>
      <c r="D9" s="2">
        <v>1890</v>
      </c>
      <c r="E9" s="2">
        <v>2</v>
      </c>
      <c r="F9" s="2">
        <v>5</v>
      </c>
      <c r="G9" s="2">
        <v>1</v>
      </c>
      <c r="H9" s="2">
        <v>1</v>
      </c>
      <c r="I9" s="2">
        <v>4</v>
      </c>
      <c r="J9" s="2" t="s">
        <v>44</v>
      </c>
      <c r="K9" s="2" t="str">
        <f t="shared" ref="K9" si="6">"Res/"&amp;J9</f>
        <v>Res/Полуботинки Alessio Nesca женские 3-30797-47, размер 37, цвет: бордовый</v>
      </c>
      <c r="L9" s="17"/>
    </row>
    <row r="10" spans="1:14" ht="35.25" customHeight="1">
      <c r="A10" s="2" t="s">
        <v>12</v>
      </c>
      <c r="B10" s="2" t="s">
        <v>4</v>
      </c>
      <c r="C10" s="2">
        <v>1</v>
      </c>
      <c r="D10" s="2">
        <v>4300</v>
      </c>
      <c r="E10" s="2">
        <v>1</v>
      </c>
      <c r="F10" s="2">
        <v>4</v>
      </c>
      <c r="G10" s="2">
        <v>1</v>
      </c>
      <c r="H10" s="2">
        <v>2</v>
      </c>
      <c r="I10" s="2">
        <v>6</v>
      </c>
      <c r="J10" s="2" t="s">
        <v>45</v>
      </c>
      <c r="K10" s="2" t="str">
        <f t="shared" ref="K10" si="7">"Res/"&amp;J10</f>
        <v>Res/Туфли Rieker женские демисезонные, размер 41, цвет коричневый</v>
      </c>
      <c r="L10" s="17"/>
    </row>
    <row r="11" spans="1:14" ht="49.5" customHeight="1">
      <c r="A11" s="2" t="s">
        <v>13</v>
      </c>
      <c r="B11" s="2" t="s">
        <v>4</v>
      </c>
      <c r="C11" s="2">
        <v>1</v>
      </c>
      <c r="D11" s="2">
        <v>2800</v>
      </c>
      <c r="E11" s="2">
        <v>1</v>
      </c>
      <c r="F11" s="2">
        <v>1</v>
      </c>
      <c r="G11" s="2">
        <v>1</v>
      </c>
      <c r="H11" s="2">
        <v>3</v>
      </c>
      <c r="I11" s="2">
        <v>15</v>
      </c>
      <c r="J11" s="2" t="s">
        <v>46</v>
      </c>
      <c r="K11" s="2" t="str">
        <f t="shared" ref="K11" si="8">"Res/"&amp;J11</f>
        <v>Res/Туфли kari женские TR-YR-413017, размер 37, цвет: черный</v>
      </c>
      <c r="L11" s="17"/>
    </row>
    <row r="12" spans="1:14">
      <c r="A12" s="2" t="s">
        <v>14</v>
      </c>
      <c r="B12" s="2" t="s">
        <v>11</v>
      </c>
      <c r="C12" s="2">
        <v>1</v>
      </c>
      <c r="D12" s="2">
        <v>2156</v>
      </c>
      <c r="E12" s="2">
        <v>2</v>
      </c>
      <c r="F12" s="2">
        <v>6</v>
      </c>
      <c r="G12" s="2">
        <v>2</v>
      </c>
      <c r="H12" s="2">
        <v>3</v>
      </c>
      <c r="I12" s="2">
        <v>6</v>
      </c>
      <c r="J12" s="2" t="s">
        <v>47</v>
      </c>
      <c r="K12" s="2"/>
      <c r="L12" s="17"/>
    </row>
    <row r="13" spans="1:14">
      <c r="A13" s="2" t="s">
        <v>15</v>
      </c>
      <c r="B13" s="2" t="s">
        <v>11</v>
      </c>
      <c r="C13" s="2">
        <v>1</v>
      </c>
      <c r="D13" s="2">
        <v>1800</v>
      </c>
      <c r="E13" s="2">
        <v>1</v>
      </c>
      <c r="F13" s="2">
        <v>1</v>
      </c>
      <c r="G13" s="2">
        <v>1</v>
      </c>
      <c r="H13" s="2">
        <v>2</v>
      </c>
      <c r="I13" s="2">
        <v>14</v>
      </c>
      <c r="J13" s="2" t="s">
        <v>48</v>
      </c>
      <c r="K13" s="2"/>
      <c r="L13" s="17"/>
      <c r="N13" s="13"/>
    </row>
    <row r="14" spans="1:14">
      <c r="A14" s="2" t="s">
        <v>16</v>
      </c>
      <c r="B14" s="2" t="s">
        <v>17</v>
      </c>
      <c r="C14" s="2">
        <v>1</v>
      </c>
      <c r="D14" s="2">
        <v>5500</v>
      </c>
      <c r="E14" s="2">
        <v>2</v>
      </c>
      <c r="F14" s="2">
        <v>6</v>
      </c>
      <c r="G14" s="2">
        <v>2</v>
      </c>
      <c r="H14" s="2">
        <v>3</v>
      </c>
      <c r="I14" s="2">
        <v>0</v>
      </c>
      <c r="J14" s="2" t="s">
        <v>49</v>
      </c>
      <c r="K14" s="2"/>
      <c r="L14" s="17"/>
    </row>
    <row r="15" spans="1:14">
      <c r="A15" s="2" t="s">
        <v>18</v>
      </c>
      <c r="B15" s="2" t="s">
        <v>11</v>
      </c>
      <c r="C15" s="2">
        <v>1</v>
      </c>
      <c r="D15" s="2">
        <v>2100</v>
      </c>
      <c r="E15" s="2">
        <v>2</v>
      </c>
      <c r="F15" s="2">
        <v>6</v>
      </c>
      <c r="G15" s="2">
        <v>2</v>
      </c>
      <c r="H15" s="2">
        <v>2</v>
      </c>
      <c r="I15" s="2">
        <v>3</v>
      </c>
      <c r="J15" s="2" t="s">
        <v>50</v>
      </c>
      <c r="K15" s="2"/>
      <c r="L15" s="17"/>
    </row>
    <row r="16" spans="1:14">
      <c r="A16" s="2" t="s">
        <v>19</v>
      </c>
      <c r="B16" s="2" t="s">
        <v>4</v>
      </c>
      <c r="C16" s="2">
        <v>1</v>
      </c>
      <c r="D16" s="2">
        <v>5400</v>
      </c>
      <c r="E16" s="2">
        <v>2</v>
      </c>
      <c r="F16" s="2">
        <v>4</v>
      </c>
      <c r="G16" s="2">
        <v>1</v>
      </c>
      <c r="H16" s="2">
        <v>4</v>
      </c>
      <c r="I16" s="2">
        <v>18</v>
      </c>
      <c r="J16" s="2" t="s">
        <v>51</v>
      </c>
      <c r="K16" s="2"/>
      <c r="L16" s="17"/>
    </row>
    <row r="17" spans="1:12">
      <c r="A17" s="2" t="s">
        <v>20</v>
      </c>
      <c r="B17" s="2" t="s">
        <v>1</v>
      </c>
      <c r="C17" s="2">
        <v>1</v>
      </c>
      <c r="D17" s="2">
        <v>6600</v>
      </c>
      <c r="E17" s="2">
        <v>1</v>
      </c>
      <c r="F17" s="2">
        <v>1</v>
      </c>
      <c r="G17" s="2">
        <v>1</v>
      </c>
      <c r="H17" s="2">
        <v>12</v>
      </c>
      <c r="I17" s="2">
        <v>9</v>
      </c>
      <c r="J17" s="2" t="s">
        <v>52</v>
      </c>
      <c r="K17" s="2"/>
      <c r="L17" s="17"/>
    </row>
    <row r="18" spans="1:12">
      <c r="A18" s="2" t="s">
        <v>21</v>
      </c>
      <c r="B18" s="2" t="s">
        <v>22</v>
      </c>
      <c r="C18" s="2">
        <v>1</v>
      </c>
      <c r="D18" s="2">
        <v>500</v>
      </c>
      <c r="E18" s="2">
        <v>1</v>
      </c>
      <c r="F18" s="2">
        <v>1</v>
      </c>
      <c r="G18" s="2">
        <v>2</v>
      </c>
      <c r="H18" s="2">
        <v>13</v>
      </c>
      <c r="I18" s="2">
        <v>0</v>
      </c>
      <c r="J18" s="2" t="s">
        <v>53</v>
      </c>
      <c r="K18" s="2"/>
      <c r="L18" s="17"/>
    </row>
    <row r="19" spans="1:12">
      <c r="A19" s="2" t="s">
        <v>23</v>
      </c>
      <c r="B19" s="2" t="s">
        <v>1</v>
      </c>
      <c r="C19" s="2">
        <v>1</v>
      </c>
      <c r="D19" s="2">
        <v>2700</v>
      </c>
      <c r="E19" s="2">
        <v>2</v>
      </c>
      <c r="F19" s="2">
        <v>4</v>
      </c>
      <c r="G19" s="2">
        <v>2</v>
      </c>
      <c r="H19" s="2">
        <v>2</v>
      </c>
      <c r="I19" s="2">
        <v>5</v>
      </c>
      <c r="J19" s="2" t="s">
        <v>54</v>
      </c>
      <c r="K19" s="2"/>
      <c r="L19" s="17"/>
    </row>
    <row r="20" spans="1:12">
      <c r="A20" s="2" t="s">
        <v>24</v>
      </c>
      <c r="B20" s="2" t="s">
        <v>4</v>
      </c>
      <c r="C20" s="2">
        <v>1</v>
      </c>
      <c r="D20" s="2">
        <v>6800</v>
      </c>
      <c r="E20" s="2">
        <v>1</v>
      </c>
      <c r="F20" s="2">
        <v>6</v>
      </c>
      <c r="G20" s="2">
        <v>1</v>
      </c>
      <c r="H20" s="2">
        <v>15</v>
      </c>
      <c r="I20" s="2">
        <v>15</v>
      </c>
      <c r="J20" s="2" t="s">
        <v>55</v>
      </c>
      <c r="K20" s="2"/>
      <c r="L20" s="17"/>
    </row>
    <row r="21" spans="1:12">
      <c r="A21" s="2" t="s">
        <v>25</v>
      </c>
      <c r="B21" s="2" t="s">
        <v>1</v>
      </c>
      <c r="C21" s="2">
        <v>1</v>
      </c>
      <c r="D21" s="2">
        <v>10200</v>
      </c>
      <c r="E21" s="2">
        <v>1</v>
      </c>
      <c r="F21" s="2">
        <v>5</v>
      </c>
      <c r="G21" s="2">
        <v>1</v>
      </c>
      <c r="H21" s="2">
        <v>15</v>
      </c>
      <c r="I21" s="2">
        <v>9</v>
      </c>
      <c r="J21" s="2" t="s">
        <v>56</v>
      </c>
      <c r="K21" s="2"/>
      <c r="L21" s="17"/>
    </row>
    <row r="22" spans="1:12">
      <c r="A22" s="2" t="s">
        <v>26</v>
      </c>
      <c r="B22" s="2" t="s">
        <v>1</v>
      </c>
      <c r="C22" s="2">
        <v>1</v>
      </c>
      <c r="D22" s="2">
        <v>11800</v>
      </c>
      <c r="E22" s="2">
        <v>2</v>
      </c>
      <c r="F22" s="2">
        <v>4</v>
      </c>
      <c r="G22" s="2">
        <v>1</v>
      </c>
      <c r="H22" s="2">
        <v>15</v>
      </c>
      <c r="I22" s="2">
        <v>11</v>
      </c>
      <c r="J22" s="2" t="s">
        <v>57</v>
      </c>
      <c r="K22" s="4"/>
    </row>
    <row r="23" spans="1:12">
      <c r="A23" s="2" t="s">
        <v>27</v>
      </c>
      <c r="B23" s="2" t="s">
        <v>11</v>
      </c>
      <c r="C23" s="2">
        <v>1</v>
      </c>
      <c r="D23" s="2">
        <v>4600</v>
      </c>
      <c r="E23" s="2">
        <v>1</v>
      </c>
      <c r="F23" s="2">
        <v>6</v>
      </c>
      <c r="G23" s="2">
        <v>1</v>
      </c>
      <c r="H23" s="2">
        <v>3</v>
      </c>
      <c r="I23" s="2">
        <v>13</v>
      </c>
      <c r="J23" s="2" t="s">
        <v>58</v>
      </c>
      <c r="K23" s="5"/>
      <c r="L23" s="3"/>
    </row>
    <row r="24" spans="1:12">
      <c r="A24" s="2" t="s">
        <v>28</v>
      </c>
      <c r="B24" s="2" t="s">
        <v>4</v>
      </c>
      <c r="C24" s="2">
        <v>1</v>
      </c>
      <c r="D24" s="2">
        <v>12400</v>
      </c>
      <c r="E24" s="2">
        <v>1</v>
      </c>
      <c r="F24" s="2">
        <v>1</v>
      </c>
      <c r="G24" s="2">
        <v>1</v>
      </c>
      <c r="H24" s="2">
        <v>16</v>
      </c>
      <c r="I24" s="2">
        <v>5</v>
      </c>
      <c r="J24" s="2" t="s">
        <v>59</v>
      </c>
      <c r="K24" s="5"/>
      <c r="L24" s="3"/>
    </row>
    <row r="25" spans="1:12">
      <c r="A25" s="2" t="s">
        <v>29</v>
      </c>
      <c r="B25" s="2" t="s">
        <v>22</v>
      </c>
      <c r="C25" s="2">
        <v>1</v>
      </c>
      <c r="D25" s="2">
        <v>9900</v>
      </c>
      <c r="E25" s="2">
        <v>2</v>
      </c>
      <c r="F25" s="2">
        <v>6</v>
      </c>
      <c r="G25" s="2">
        <v>2</v>
      </c>
      <c r="H25" s="2">
        <v>17</v>
      </c>
      <c r="I25" s="2">
        <v>15</v>
      </c>
      <c r="J25" s="2" t="s">
        <v>60</v>
      </c>
      <c r="K25" s="5"/>
      <c r="L25" s="3"/>
    </row>
    <row r="26" spans="1:12">
      <c r="A26" s="2" t="s">
        <v>30</v>
      </c>
      <c r="B26" s="2" t="s">
        <v>11</v>
      </c>
      <c r="C26" s="2">
        <v>1</v>
      </c>
      <c r="D26" s="2">
        <v>1700</v>
      </c>
      <c r="E26" s="2">
        <v>1</v>
      </c>
      <c r="F26" s="2">
        <v>1</v>
      </c>
      <c r="G26" s="2">
        <v>1</v>
      </c>
      <c r="H26" s="2">
        <v>2</v>
      </c>
      <c r="I26" s="2">
        <v>7</v>
      </c>
      <c r="J26" s="2" t="s">
        <v>61</v>
      </c>
      <c r="K26" s="5"/>
      <c r="L26" s="3"/>
    </row>
    <row r="27" spans="1:12">
      <c r="A27" s="2" t="s">
        <v>31</v>
      </c>
      <c r="B27" s="2" t="s">
        <v>8</v>
      </c>
      <c r="C27" s="2">
        <v>1</v>
      </c>
      <c r="D27" s="2">
        <v>2800</v>
      </c>
      <c r="E27" s="2">
        <v>2</v>
      </c>
      <c r="F27" s="2">
        <v>4</v>
      </c>
      <c r="G27" s="2">
        <v>2</v>
      </c>
      <c r="H27" s="2">
        <v>18</v>
      </c>
      <c r="I27" s="2">
        <v>3</v>
      </c>
      <c r="J27" s="2" t="s">
        <v>62</v>
      </c>
      <c r="K27" s="5"/>
      <c r="L27" s="3"/>
    </row>
    <row r="28" spans="1:12">
      <c r="A28" s="2" t="s">
        <v>32</v>
      </c>
      <c r="B28" s="2" t="s">
        <v>4</v>
      </c>
      <c r="C28" s="2">
        <v>1</v>
      </c>
      <c r="D28" s="2">
        <v>4399</v>
      </c>
      <c r="E28" s="2">
        <v>2</v>
      </c>
      <c r="F28" s="2">
        <v>4</v>
      </c>
      <c r="G28" s="2">
        <v>1</v>
      </c>
      <c r="H28" s="2">
        <v>3</v>
      </c>
      <c r="I28" s="2">
        <v>12</v>
      </c>
      <c r="J28" s="2" t="s">
        <v>63</v>
      </c>
      <c r="K28" s="5"/>
      <c r="L28" s="3"/>
    </row>
    <row r="29" spans="1:12">
      <c r="A29" s="2" t="s">
        <v>33</v>
      </c>
      <c r="B29" s="2" t="s">
        <v>34</v>
      </c>
      <c r="C29" s="2">
        <v>1</v>
      </c>
      <c r="D29" s="2">
        <v>4699</v>
      </c>
      <c r="E29" s="2">
        <v>1</v>
      </c>
      <c r="F29" s="2">
        <v>6</v>
      </c>
      <c r="G29" s="2">
        <v>1</v>
      </c>
      <c r="H29" s="2">
        <v>2</v>
      </c>
      <c r="I29" s="2">
        <v>5</v>
      </c>
      <c r="J29" s="2" t="s">
        <v>64</v>
      </c>
      <c r="K29" s="5"/>
      <c r="L29" s="3"/>
    </row>
    <row r="30" spans="1:12">
      <c r="A30" s="2" t="s">
        <v>35</v>
      </c>
      <c r="B30" s="2" t="s">
        <v>22</v>
      </c>
      <c r="C30" s="2">
        <v>1</v>
      </c>
      <c r="D30" s="2">
        <v>599</v>
      </c>
      <c r="E30" s="2">
        <v>1</v>
      </c>
      <c r="F30" s="2">
        <v>4</v>
      </c>
      <c r="G30" s="2">
        <v>2</v>
      </c>
      <c r="H30" s="2">
        <v>20</v>
      </c>
      <c r="I30" s="2">
        <v>2</v>
      </c>
      <c r="J30" s="2" t="s">
        <v>65</v>
      </c>
      <c r="K30" s="5"/>
      <c r="L30" s="3"/>
    </row>
    <row r="31" spans="1:12">
      <c r="A31" s="2" t="s">
        <v>36</v>
      </c>
      <c r="B31" s="2" t="s">
        <v>1</v>
      </c>
      <c r="C31" s="2">
        <v>1</v>
      </c>
      <c r="D31" s="2">
        <v>2300</v>
      </c>
      <c r="E31" s="2">
        <v>2</v>
      </c>
      <c r="F31" s="2">
        <v>4</v>
      </c>
      <c r="G31" s="2">
        <v>1</v>
      </c>
      <c r="H31" s="2">
        <v>2</v>
      </c>
      <c r="I31" s="2">
        <v>7</v>
      </c>
      <c r="J31" s="2" t="s">
        <v>66</v>
      </c>
      <c r="K31" s="5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17"/>
      <c r="F35" s="17"/>
      <c r="G35" s="17"/>
      <c r="H35" s="3"/>
      <c r="I35" s="3"/>
      <c r="J35" s="3"/>
    </row>
    <row r="36" spans="1:10">
      <c r="A36" s="3"/>
      <c r="B36" s="3"/>
      <c r="C36" s="3"/>
      <c r="D36" s="17"/>
      <c r="E36" s="17"/>
      <c r="F36" s="17"/>
      <c r="G36" s="17"/>
      <c r="H36" s="3"/>
      <c r="I36" s="3"/>
      <c r="J36" s="17"/>
    </row>
    <row r="37" spans="1:10">
      <c r="A37" s="3"/>
      <c r="B37" s="3"/>
      <c r="C37" s="3"/>
      <c r="D37" s="17"/>
      <c r="E37" s="17"/>
      <c r="F37" s="13"/>
      <c r="G37" s="17"/>
      <c r="H37" s="3"/>
      <c r="I37" s="3"/>
      <c r="J37" s="17"/>
    </row>
    <row r="38" spans="1:10">
      <c r="A38" s="3"/>
      <c r="B38" s="3"/>
      <c r="C38" s="3"/>
      <c r="D38" s="17"/>
      <c r="E38" s="17"/>
      <c r="F38" s="13"/>
      <c r="G38" s="17"/>
      <c r="H38" s="3"/>
      <c r="I38" s="3"/>
      <c r="J38" s="17"/>
    </row>
    <row r="39" spans="1:10">
      <c r="A39" s="3"/>
      <c r="B39" s="3"/>
      <c r="C39" s="3"/>
      <c r="D39" s="17"/>
      <c r="E39" s="17"/>
      <c r="F39" s="13"/>
      <c r="G39" s="17"/>
      <c r="H39" s="3"/>
      <c r="I39" s="3"/>
      <c r="J39" s="17"/>
    </row>
    <row r="40" spans="1:10">
      <c r="A40" s="3"/>
      <c r="B40" s="3"/>
      <c r="C40" s="3"/>
      <c r="D40" s="17"/>
      <c r="E40" s="17"/>
      <c r="F40" s="13"/>
      <c r="G40" s="17"/>
      <c r="H40" s="3"/>
      <c r="I40" s="3"/>
      <c r="J40" s="17"/>
    </row>
    <row r="41" spans="1:10">
      <c r="A41" s="3"/>
      <c r="B41" s="3"/>
      <c r="C41" s="3"/>
      <c r="D41" s="17"/>
      <c r="E41" s="17"/>
      <c r="F41" s="13"/>
      <c r="G41" s="17"/>
      <c r="H41" s="3"/>
      <c r="I41" s="3"/>
      <c r="J41" s="17"/>
    </row>
    <row r="42" spans="1:10">
      <c r="A42" s="3"/>
      <c r="B42" s="3"/>
      <c r="C42" s="3"/>
      <c r="D42" s="17"/>
      <c r="E42" s="17"/>
      <c r="F42" s="13"/>
      <c r="G42" s="17"/>
      <c r="H42" s="3"/>
      <c r="I42" s="3"/>
      <c r="J42" s="3"/>
    </row>
    <row r="43" spans="1:10">
      <c r="A43" s="3"/>
      <c r="B43" s="3"/>
      <c r="C43" s="3"/>
      <c r="D43" s="17"/>
      <c r="E43" s="17"/>
      <c r="F43" s="13"/>
      <c r="G43" s="17"/>
      <c r="H43" s="3"/>
      <c r="I43" s="3"/>
      <c r="J43" s="3"/>
    </row>
    <row r="44" spans="1:10">
      <c r="A44" s="3"/>
      <c r="B44" s="3"/>
      <c r="C44" s="3"/>
      <c r="D44" s="17"/>
      <c r="E44" s="17"/>
      <c r="F44" s="13"/>
      <c r="G44" s="17"/>
      <c r="H44" s="3"/>
      <c r="I44" s="3"/>
      <c r="J44" s="3"/>
    </row>
    <row r="45" spans="1:10">
      <c r="D45" s="17"/>
      <c r="E45" s="17"/>
      <c r="F45" s="13"/>
      <c r="G45" s="17"/>
      <c r="H45" s="13"/>
      <c r="I45" s="13"/>
      <c r="J45" s="13"/>
    </row>
    <row r="46" spans="1:10">
      <c r="D46" s="17"/>
      <c r="E46" s="17"/>
      <c r="F46" s="13"/>
      <c r="G46" s="17"/>
      <c r="H46" s="13"/>
      <c r="I46" s="13"/>
      <c r="J46" s="13"/>
    </row>
    <row r="47" spans="1:10">
      <c r="D47" s="17"/>
      <c r="E47" s="17"/>
      <c r="F47" s="13"/>
      <c r="G47" s="17"/>
      <c r="H47" s="13"/>
      <c r="I47" s="13"/>
      <c r="J47" s="13"/>
    </row>
    <row r="48" spans="1:10">
      <c r="D48" s="17"/>
      <c r="E48" s="17"/>
      <c r="F48" s="13"/>
      <c r="G48" s="17"/>
      <c r="H48" s="13"/>
      <c r="I48" s="13"/>
      <c r="J48" s="13"/>
    </row>
    <row r="49" spans="4:10">
      <c r="D49" s="17"/>
      <c r="E49" s="17"/>
      <c r="F49" s="13"/>
      <c r="G49" s="17"/>
      <c r="H49" s="13"/>
      <c r="I49" s="13"/>
      <c r="J49" s="13"/>
    </row>
    <row r="50" spans="4:10">
      <c r="D50" s="17"/>
      <c r="E50" s="17"/>
      <c r="F50" s="13"/>
      <c r="G50" s="17"/>
      <c r="H50" s="13"/>
      <c r="I50" s="13"/>
      <c r="J50" s="13"/>
    </row>
    <row r="51" spans="4:10">
      <c r="D51" s="17"/>
      <c r="E51" s="17"/>
      <c r="F51" s="13"/>
      <c r="G51" s="17"/>
      <c r="H51" s="13"/>
      <c r="I51" s="13"/>
      <c r="J51" s="13"/>
    </row>
    <row r="52" spans="4:10">
      <c r="D52" s="17"/>
      <c r="E52" s="17"/>
      <c r="F52" s="13"/>
      <c r="G52" s="17"/>
      <c r="H52" s="13"/>
      <c r="I52" s="13"/>
      <c r="J52" s="13"/>
    </row>
    <row r="53" spans="4:10">
      <c r="D53" s="17"/>
      <c r="E53" s="17"/>
      <c r="F53" s="13"/>
      <c r="G53" s="17"/>
      <c r="H53" s="13"/>
      <c r="I53" s="13"/>
      <c r="J53" s="13"/>
    </row>
    <row r="54" spans="4:10">
      <c r="D54" s="17"/>
      <c r="E54" s="17"/>
      <c r="F54" s="13"/>
      <c r="G54" s="17"/>
      <c r="H54" s="13"/>
      <c r="I54" s="13"/>
      <c r="J54" s="13"/>
    </row>
    <row r="55" spans="4:10">
      <c r="D55" s="17"/>
      <c r="E55" s="17"/>
      <c r="F55" s="13"/>
      <c r="G55" s="17"/>
      <c r="H55" s="13"/>
      <c r="I55" s="13"/>
      <c r="J55" s="13"/>
    </row>
    <row r="56" spans="4:10">
      <c r="D56" s="17"/>
      <c r="E56" s="17"/>
      <c r="F56" s="13"/>
      <c r="G56" s="17"/>
      <c r="H56" s="13"/>
      <c r="I56" s="13"/>
      <c r="J56" s="13"/>
    </row>
    <row r="57" spans="4:10">
      <c r="D57" s="17"/>
      <c r="E57" s="17"/>
      <c r="F57" s="13"/>
      <c r="G57" s="17"/>
      <c r="H57" s="13"/>
      <c r="I57" s="13"/>
      <c r="J57" s="13"/>
    </row>
    <row r="58" spans="4:10">
      <c r="D58" s="17"/>
      <c r="E58" s="17"/>
      <c r="F58" s="13"/>
      <c r="G58" s="17"/>
      <c r="H58" s="13"/>
      <c r="I58" s="13"/>
      <c r="J58" s="13"/>
    </row>
    <row r="59" spans="4:10">
      <c r="D59" s="17"/>
      <c r="E59" s="17"/>
      <c r="F59" s="13"/>
      <c r="G59" s="17"/>
      <c r="H59" s="13"/>
      <c r="I59" s="13"/>
      <c r="J59" s="13"/>
    </row>
    <row r="60" spans="4:10">
      <c r="D60" s="17"/>
      <c r="E60" s="17"/>
      <c r="F60" s="13"/>
      <c r="G60" s="17"/>
      <c r="H60" s="13"/>
      <c r="I60" s="13"/>
      <c r="J60" s="13"/>
    </row>
    <row r="61" spans="4:10">
      <c r="D61" s="17"/>
      <c r="E61" s="17"/>
      <c r="F61" s="13"/>
      <c r="G61" s="17"/>
      <c r="H61" s="13"/>
      <c r="I61" s="13"/>
      <c r="J61" s="13"/>
    </row>
    <row r="62" spans="4:10">
      <c r="D62" s="17"/>
      <c r="E62" s="17"/>
      <c r="F62" s="13"/>
      <c r="G62" s="17"/>
      <c r="H62" s="13"/>
      <c r="I62" s="13"/>
      <c r="J62" s="13"/>
    </row>
    <row r="63" spans="4:10">
      <c r="D63" s="17"/>
      <c r="E63" s="17"/>
      <c r="F63" s="13"/>
      <c r="G63" s="17"/>
      <c r="H63" s="13"/>
      <c r="I63" s="13"/>
      <c r="J63" s="13"/>
    </row>
    <row r="64" spans="4:10">
      <c r="D64" s="17"/>
      <c r="E64" s="17"/>
      <c r="F64" s="13"/>
      <c r="G64" s="17"/>
      <c r="H64" s="13"/>
      <c r="I64" s="13"/>
      <c r="J64" s="13"/>
    </row>
    <row r="65" spans="4:10">
      <c r="D65" s="17"/>
      <c r="E65" s="17"/>
      <c r="F65" s="13"/>
      <c r="G65" s="17"/>
      <c r="H65" s="13"/>
      <c r="I65" s="13"/>
      <c r="J65" s="13"/>
    </row>
    <row r="66" spans="4:10">
      <c r="E66" s="13"/>
      <c r="F66" s="13"/>
      <c r="G66" s="13"/>
      <c r="H66" s="13"/>
      <c r="I66" s="13"/>
      <c r="J66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486C6-EAEB-4951-8A7B-EDA9562269DC}">
  <dimension ref="A1:L40"/>
  <sheetViews>
    <sheetView tabSelected="1" topLeftCell="C1" zoomScale="85" zoomScaleNormal="85" workbookViewId="0">
      <selection activeCell="I10" sqref="I10"/>
    </sheetView>
  </sheetViews>
  <sheetFormatPr defaultColWidth="11.25" defaultRowHeight="15.75"/>
  <cols>
    <col min="1" max="1" width="15.875" bestFit="1" customWidth="1"/>
    <col min="2" max="2" width="32.875" customWidth="1"/>
    <col min="3" max="3" width="12.875" bestFit="1" customWidth="1"/>
    <col min="4" max="4" width="10.25" bestFit="1" customWidth="1"/>
    <col min="5" max="5" width="34.5" bestFit="1" customWidth="1"/>
    <col min="6" max="6" width="23.625" bestFit="1" customWidth="1"/>
    <col min="7" max="7" width="11" bestFit="1" customWidth="1"/>
    <col min="8" max="8" width="2.25" bestFit="1" customWidth="1"/>
    <col min="10" max="10" width="27.375" bestFit="1" customWidth="1"/>
  </cols>
  <sheetData>
    <row r="1" spans="1:12">
      <c r="A1" s="8"/>
      <c r="B1" s="8"/>
      <c r="C1" s="8" t="s">
        <v>103</v>
      </c>
      <c r="D1" s="8"/>
      <c r="E1" s="8"/>
      <c r="F1" s="8" t="s">
        <v>104</v>
      </c>
      <c r="G1" s="8" t="s">
        <v>105</v>
      </c>
      <c r="H1" s="8"/>
    </row>
    <row r="2" spans="1:12">
      <c r="A2" s="6"/>
      <c r="B2" s="6"/>
      <c r="C2" s="6" t="s">
        <v>150</v>
      </c>
      <c r="D2" s="6" t="s">
        <v>151</v>
      </c>
      <c r="E2" s="6" t="s">
        <v>152</v>
      </c>
      <c r="F2" s="7" t="s">
        <v>93</v>
      </c>
      <c r="G2" s="6" t="s">
        <v>92</v>
      </c>
      <c r="H2" s="6">
        <v>1</v>
      </c>
    </row>
    <row r="3" spans="1:12">
      <c r="A3" s="6"/>
      <c r="B3" s="6"/>
      <c r="C3" s="6" t="s">
        <v>153</v>
      </c>
      <c r="D3" s="6" t="s">
        <v>154</v>
      </c>
      <c r="E3" s="6" t="s">
        <v>155</v>
      </c>
      <c r="F3" s="7" t="s">
        <v>90</v>
      </c>
      <c r="G3" s="6" t="s">
        <v>89</v>
      </c>
      <c r="H3" s="6">
        <v>1</v>
      </c>
    </row>
    <row r="4" spans="1:12">
      <c r="A4" s="6"/>
      <c r="B4" s="6"/>
      <c r="C4" s="6" t="s">
        <v>156</v>
      </c>
      <c r="D4" s="6" t="s">
        <v>157</v>
      </c>
      <c r="E4" s="6" t="s">
        <v>158</v>
      </c>
      <c r="F4" s="7" t="s">
        <v>87</v>
      </c>
      <c r="G4" s="6" t="s">
        <v>86</v>
      </c>
      <c r="H4" s="6">
        <v>1</v>
      </c>
      <c r="L4" s="6"/>
    </row>
    <row r="5" spans="1:12">
      <c r="A5" s="6"/>
      <c r="B5" s="6"/>
      <c r="C5" s="6" t="s">
        <v>159</v>
      </c>
      <c r="D5" s="6" t="s">
        <v>160</v>
      </c>
      <c r="E5" s="6" t="s">
        <v>158</v>
      </c>
      <c r="F5" s="7" t="s">
        <v>84</v>
      </c>
      <c r="G5" s="6" t="s">
        <v>83</v>
      </c>
      <c r="H5" s="6">
        <v>2</v>
      </c>
      <c r="L5" s="6"/>
    </row>
    <row r="6" spans="1:12">
      <c r="A6" s="6"/>
      <c r="B6" s="6"/>
      <c r="C6" s="6" t="s">
        <v>161</v>
      </c>
      <c r="D6" s="6" t="s">
        <v>162</v>
      </c>
      <c r="E6" s="6" t="s">
        <v>163</v>
      </c>
      <c r="F6" s="7" t="s">
        <v>82</v>
      </c>
      <c r="G6" s="6" t="s">
        <v>81</v>
      </c>
      <c r="H6" s="6">
        <v>2</v>
      </c>
      <c r="L6" s="6"/>
    </row>
    <row r="7" spans="1:12">
      <c r="A7" s="6"/>
      <c r="B7" s="6"/>
      <c r="C7" s="6" t="s">
        <v>164</v>
      </c>
      <c r="D7" s="6" t="s">
        <v>165</v>
      </c>
      <c r="E7" s="6" t="s">
        <v>166</v>
      </c>
      <c r="F7" s="7" t="s">
        <v>80</v>
      </c>
      <c r="G7" s="6" t="s">
        <v>79</v>
      </c>
      <c r="H7" s="6">
        <v>2</v>
      </c>
      <c r="L7" s="6"/>
    </row>
    <row r="8" spans="1:12">
      <c r="A8" s="6"/>
      <c r="B8" s="6"/>
      <c r="C8" s="6" t="s">
        <v>167</v>
      </c>
      <c r="D8" s="6" t="s">
        <v>168</v>
      </c>
      <c r="E8" s="6" t="s">
        <v>169</v>
      </c>
      <c r="F8" s="7" t="s">
        <v>77</v>
      </c>
      <c r="G8" s="6" t="s">
        <v>76</v>
      </c>
      <c r="H8" s="6">
        <v>3</v>
      </c>
      <c r="L8" s="6"/>
    </row>
    <row r="9" spans="1:12">
      <c r="A9" s="6"/>
      <c r="B9" s="6"/>
      <c r="C9" s="6" t="s">
        <v>170</v>
      </c>
      <c r="D9" s="6" t="s">
        <v>165</v>
      </c>
      <c r="E9" s="6" t="s">
        <v>171</v>
      </c>
      <c r="F9" s="7" t="s">
        <v>74</v>
      </c>
      <c r="G9" s="6" t="s">
        <v>73</v>
      </c>
      <c r="H9" s="6">
        <v>3</v>
      </c>
      <c r="L9" s="6"/>
    </row>
    <row r="10" spans="1:12">
      <c r="A10" s="6"/>
      <c r="B10" s="6"/>
      <c r="C10" s="6" t="s">
        <v>161</v>
      </c>
      <c r="D10" s="6" t="s">
        <v>162</v>
      </c>
      <c r="E10" s="6" t="s">
        <v>163</v>
      </c>
      <c r="F10" s="7" t="s">
        <v>71</v>
      </c>
      <c r="G10" s="6" t="s">
        <v>70</v>
      </c>
      <c r="H10" s="6">
        <v>3</v>
      </c>
      <c r="L10" s="6"/>
    </row>
    <row r="11" spans="1:12">
      <c r="A11" s="6"/>
      <c r="B11" s="6"/>
      <c r="C11" s="6" t="s">
        <v>164</v>
      </c>
      <c r="D11" s="6" t="s">
        <v>165</v>
      </c>
      <c r="E11" s="6" t="s">
        <v>166</v>
      </c>
      <c r="F11" s="7" t="s">
        <v>68</v>
      </c>
      <c r="G11" s="6" t="s">
        <v>67</v>
      </c>
      <c r="H11" s="6">
        <v>3</v>
      </c>
      <c r="L11" s="6"/>
    </row>
    <row r="12" spans="1:12">
      <c r="L12" s="6"/>
    </row>
    <row r="13" spans="1:12">
      <c r="A13" s="6"/>
      <c r="L13" s="6"/>
    </row>
    <row r="14" spans="1:12">
      <c r="A14" s="6"/>
    </row>
    <row r="15" spans="1:12">
      <c r="A15" s="6"/>
    </row>
    <row r="16" spans="1:12">
      <c r="A16" s="6"/>
    </row>
    <row r="20" spans="1:10">
      <c r="A20" s="6"/>
      <c r="B20" s="6"/>
      <c r="C20" s="6"/>
      <c r="D20" s="6"/>
      <c r="E20" s="6"/>
    </row>
    <row r="21" spans="1:10">
      <c r="A21" s="6"/>
      <c r="B21" s="6"/>
      <c r="C21" s="6"/>
      <c r="D21" s="6"/>
      <c r="E21" s="6"/>
    </row>
    <row r="22" spans="1:10">
      <c r="A22" s="6"/>
      <c r="B22" s="6"/>
      <c r="C22" s="6"/>
      <c r="D22" s="6"/>
      <c r="E22" s="6"/>
      <c r="G22" s="6"/>
    </row>
    <row r="23" spans="1:10">
      <c r="A23" s="6"/>
      <c r="G23" s="6"/>
      <c r="H23" s="6"/>
      <c r="J23" s="6"/>
    </row>
    <row r="24" spans="1:10">
      <c r="A24" s="6"/>
      <c r="G24" s="6"/>
      <c r="H24" s="6"/>
      <c r="J24" s="6"/>
    </row>
    <row r="25" spans="1:10">
      <c r="A25" s="6"/>
      <c r="G25" s="6"/>
      <c r="H25" s="6"/>
      <c r="J25" s="6"/>
    </row>
    <row r="26" spans="1:10">
      <c r="A26" s="6"/>
      <c r="G26" s="6"/>
    </row>
    <row r="27" spans="1:10">
      <c r="A27" s="6"/>
      <c r="G27" s="6"/>
    </row>
    <row r="28" spans="1:10">
      <c r="A28" s="6"/>
      <c r="G28" s="6"/>
    </row>
    <row r="29" spans="1:10">
      <c r="A29" s="6"/>
      <c r="G29" s="6"/>
    </row>
    <row r="30" spans="1:10">
      <c r="F30" s="6"/>
      <c r="G30" s="6"/>
    </row>
    <row r="31" spans="1:10">
      <c r="E31" s="6" t="s">
        <v>94</v>
      </c>
      <c r="F31" s="6"/>
      <c r="G31" s="6"/>
    </row>
    <row r="32" spans="1:10">
      <c r="E32" s="6" t="s">
        <v>91</v>
      </c>
      <c r="F32" s="6"/>
    </row>
    <row r="33" spans="5:5">
      <c r="E33" s="6" t="s">
        <v>88</v>
      </c>
    </row>
    <row r="34" spans="5:5">
      <c r="E34" s="6" t="s">
        <v>85</v>
      </c>
    </row>
    <row r="35" spans="5:5">
      <c r="E35" s="6" t="s">
        <v>72</v>
      </c>
    </row>
    <row r="36" spans="5:5">
      <c r="E36" s="6" t="s">
        <v>69</v>
      </c>
    </row>
    <row r="37" spans="5:5">
      <c r="E37" s="6" t="s">
        <v>78</v>
      </c>
    </row>
    <row r="38" spans="5:5">
      <c r="E38" s="6" t="s">
        <v>75</v>
      </c>
    </row>
    <row r="39" spans="5:5">
      <c r="E39" s="6" t="s">
        <v>72</v>
      </c>
    </row>
    <row r="40" spans="5:5">
      <c r="E40" s="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ED0E-90C0-4576-9FDF-774756BCA10E}">
  <dimension ref="A1:Q56"/>
  <sheetViews>
    <sheetView zoomScale="55" zoomScaleNormal="55" workbookViewId="0">
      <selection activeCell="H43" sqref="H43"/>
    </sheetView>
  </sheetViews>
  <sheetFormatPr defaultColWidth="11.25" defaultRowHeight="15.75"/>
  <cols>
    <col min="1" max="1" width="8.875" bestFit="1" customWidth="1"/>
    <col min="2" max="2" width="20.75" bestFit="1" customWidth="1"/>
    <col min="3" max="3" width="20.75" customWidth="1"/>
    <col min="4" max="4" width="31.75" bestFit="1" customWidth="1"/>
    <col min="5" max="5" width="36" bestFit="1" customWidth="1"/>
    <col min="6" max="6" width="13.25" bestFit="1" customWidth="1"/>
    <col min="7" max="7" width="30.125" bestFit="1" customWidth="1"/>
    <col min="8" max="8" width="14.125" bestFit="1" customWidth="1"/>
    <col min="9" max="9" width="13.375" bestFit="1" customWidth="1"/>
    <col min="10" max="10" width="10.5" bestFit="1" customWidth="1"/>
    <col min="12" max="12" width="22" bestFit="1" customWidth="1"/>
    <col min="13" max="13" width="11.5" bestFit="1" customWidth="1"/>
  </cols>
  <sheetData>
    <row r="1" spans="1:17" ht="47.25">
      <c r="A1" s="16"/>
      <c r="B1" s="16"/>
      <c r="C1" s="16"/>
      <c r="D1" s="14" t="s">
        <v>95</v>
      </c>
      <c r="E1" s="1" t="s">
        <v>96</v>
      </c>
      <c r="F1" s="1"/>
      <c r="G1" s="16"/>
      <c r="H1" s="16"/>
      <c r="I1" s="16"/>
      <c r="J1" s="16"/>
      <c r="K1" s="16"/>
      <c r="L1" s="21" t="s">
        <v>97</v>
      </c>
      <c r="M1" s="1" t="s">
        <v>98</v>
      </c>
      <c r="N1" s="1" t="s">
        <v>99</v>
      </c>
      <c r="O1" s="1" t="s">
        <v>100</v>
      </c>
      <c r="P1" s="1" t="s">
        <v>101</v>
      </c>
      <c r="Q1" s="1" t="s">
        <v>102</v>
      </c>
    </row>
    <row r="2" spans="1:17">
      <c r="A2" s="17"/>
      <c r="B2" s="19"/>
      <c r="C2" s="19"/>
      <c r="D2" s="15">
        <v>1</v>
      </c>
      <c r="E2" s="9">
        <v>1</v>
      </c>
      <c r="F2" s="15">
        <v>2</v>
      </c>
      <c r="G2" s="23"/>
      <c r="H2" s="17"/>
      <c r="I2" s="17"/>
      <c r="J2" s="19"/>
      <c r="K2" s="17"/>
      <c r="L2" s="22">
        <v>45715</v>
      </c>
      <c r="M2" s="10">
        <v>45767</v>
      </c>
      <c r="N2" s="2">
        <v>1</v>
      </c>
      <c r="O2" s="11">
        <v>4</v>
      </c>
      <c r="P2" s="2">
        <v>901</v>
      </c>
      <c r="Q2" s="9">
        <v>1</v>
      </c>
    </row>
    <row r="3" spans="1:17">
      <c r="A3" s="19"/>
      <c r="B3" s="19"/>
      <c r="C3" s="19"/>
      <c r="D3" s="18">
        <v>2</v>
      </c>
      <c r="E3" s="9">
        <v>3</v>
      </c>
      <c r="F3" s="18">
        <v>1</v>
      </c>
      <c r="G3" s="23"/>
      <c r="H3" s="19"/>
      <c r="I3" s="17"/>
      <c r="J3" s="19"/>
      <c r="K3" s="3"/>
      <c r="L3" s="22">
        <v>44832</v>
      </c>
      <c r="M3" s="10">
        <v>45768</v>
      </c>
      <c r="N3" s="9">
        <v>11</v>
      </c>
      <c r="O3" s="11">
        <v>1</v>
      </c>
      <c r="P3" s="9">
        <v>902</v>
      </c>
      <c r="Q3" s="9">
        <v>1</v>
      </c>
    </row>
    <row r="4" spans="1:17">
      <c r="A4" s="19"/>
      <c r="B4" s="19"/>
      <c r="C4" s="19"/>
      <c r="D4" s="18">
        <v>3</v>
      </c>
      <c r="E4" s="9">
        <v>5</v>
      </c>
      <c r="F4" s="15">
        <v>10</v>
      </c>
      <c r="G4" s="23"/>
      <c r="H4" s="17"/>
      <c r="I4" s="17"/>
      <c r="J4" s="19"/>
      <c r="K4" s="3"/>
      <c r="L4" s="22">
        <v>45737</v>
      </c>
      <c r="M4" s="10">
        <v>45769</v>
      </c>
      <c r="N4" s="2">
        <v>2</v>
      </c>
      <c r="O4" s="11">
        <v>2</v>
      </c>
      <c r="P4" s="2">
        <v>903</v>
      </c>
      <c r="Q4" s="9">
        <v>1</v>
      </c>
    </row>
    <row r="5" spans="1:17">
      <c r="A5" s="19"/>
      <c r="B5" s="19"/>
      <c r="C5" s="19"/>
      <c r="D5" s="18">
        <v>4</v>
      </c>
      <c r="E5" s="9">
        <v>7</v>
      </c>
      <c r="F5" s="18">
        <v>5</v>
      </c>
      <c r="G5" s="23"/>
      <c r="H5" s="19"/>
      <c r="I5" s="17"/>
      <c r="J5" s="19"/>
      <c r="K5" s="3"/>
      <c r="L5" s="22">
        <v>45708</v>
      </c>
      <c r="M5" s="10">
        <v>45770</v>
      </c>
      <c r="N5" s="9">
        <v>11</v>
      </c>
      <c r="O5" s="11">
        <v>3</v>
      </c>
      <c r="P5" s="9">
        <v>904</v>
      </c>
      <c r="Q5" s="9">
        <v>1</v>
      </c>
    </row>
    <row r="6" spans="1:17">
      <c r="A6" s="19"/>
      <c r="B6" s="19"/>
      <c r="C6" s="19"/>
      <c r="D6" s="18">
        <v>5</v>
      </c>
      <c r="E6" s="9">
        <v>1</v>
      </c>
      <c r="F6" s="15">
        <v>2</v>
      </c>
      <c r="G6" s="23"/>
      <c r="H6" s="17"/>
      <c r="I6" s="17"/>
      <c r="J6" s="19"/>
      <c r="K6" s="3"/>
      <c r="L6" s="22">
        <v>45733</v>
      </c>
      <c r="M6" s="10">
        <v>45771</v>
      </c>
      <c r="N6" s="2">
        <v>2</v>
      </c>
      <c r="O6" s="11">
        <v>4</v>
      </c>
      <c r="P6" s="2">
        <v>905</v>
      </c>
      <c r="Q6" s="9">
        <v>1</v>
      </c>
    </row>
    <row r="7" spans="1:17">
      <c r="A7" s="19"/>
      <c r="B7" s="19"/>
      <c r="C7" s="19"/>
      <c r="D7" s="18">
        <v>6</v>
      </c>
      <c r="E7" s="9">
        <v>3</v>
      </c>
      <c r="F7" s="18">
        <v>1</v>
      </c>
      <c r="G7" s="23"/>
      <c r="H7" s="19"/>
      <c r="I7" s="17"/>
      <c r="J7" s="19"/>
      <c r="K7" s="3"/>
      <c r="L7" s="22">
        <v>45717</v>
      </c>
      <c r="M7" s="10">
        <v>45772</v>
      </c>
      <c r="N7" s="9">
        <v>15</v>
      </c>
      <c r="O7" s="11">
        <v>1</v>
      </c>
      <c r="P7" s="9">
        <v>906</v>
      </c>
      <c r="Q7" s="9">
        <v>1</v>
      </c>
    </row>
    <row r="8" spans="1:17">
      <c r="A8" s="19"/>
      <c r="B8" s="19"/>
      <c r="C8" s="19"/>
      <c r="D8" s="18">
        <v>7</v>
      </c>
      <c r="E8" s="9">
        <v>5</v>
      </c>
      <c r="F8" s="15">
        <v>10</v>
      </c>
      <c r="G8" s="23"/>
      <c r="H8" s="17"/>
      <c r="I8" s="17"/>
      <c r="J8" s="19"/>
      <c r="K8" s="3"/>
      <c r="L8" s="22">
        <v>45716</v>
      </c>
      <c r="M8" s="10">
        <v>45773</v>
      </c>
      <c r="N8" s="2">
        <v>3</v>
      </c>
      <c r="O8" s="11">
        <v>2</v>
      </c>
      <c r="P8" s="2">
        <v>907</v>
      </c>
      <c r="Q8" s="9">
        <v>1</v>
      </c>
    </row>
    <row r="9" spans="1:17">
      <c r="A9" s="19"/>
      <c r="B9" s="19"/>
      <c r="C9" s="19"/>
      <c r="D9" s="18">
        <v>8</v>
      </c>
      <c r="E9" s="9">
        <v>7</v>
      </c>
      <c r="F9" s="18">
        <v>5</v>
      </c>
      <c r="G9" s="23"/>
      <c r="H9" s="19"/>
      <c r="I9" s="17"/>
      <c r="J9" s="19"/>
      <c r="K9" s="3"/>
      <c r="L9" s="22">
        <v>45747</v>
      </c>
      <c r="M9" s="10">
        <v>45774</v>
      </c>
      <c r="N9" s="9">
        <v>19</v>
      </c>
      <c r="O9" s="11">
        <v>3</v>
      </c>
      <c r="P9" s="9">
        <v>908</v>
      </c>
      <c r="Q9" s="9">
        <v>2</v>
      </c>
    </row>
    <row r="10" spans="1:17">
      <c r="A10" s="19"/>
      <c r="B10" s="19"/>
      <c r="C10" s="19"/>
      <c r="D10" s="18">
        <v>9</v>
      </c>
      <c r="E10" s="9">
        <v>9</v>
      </c>
      <c r="F10" s="15">
        <v>5</v>
      </c>
      <c r="G10" s="23"/>
      <c r="H10" s="17"/>
      <c r="I10" s="17"/>
      <c r="J10" s="19"/>
      <c r="K10" s="3"/>
      <c r="L10" s="22">
        <v>45749</v>
      </c>
      <c r="M10" s="10">
        <v>45775</v>
      </c>
      <c r="N10" s="2">
        <v>5</v>
      </c>
      <c r="O10" s="11">
        <v>4</v>
      </c>
      <c r="P10" s="2">
        <v>909</v>
      </c>
      <c r="Q10" s="9">
        <v>2</v>
      </c>
    </row>
    <row r="11" spans="1:17">
      <c r="A11" s="19"/>
      <c r="B11" s="19"/>
      <c r="C11" s="19"/>
      <c r="D11" s="18">
        <v>10</v>
      </c>
      <c r="E11" s="9">
        <v>11</v>
      </c>
      <c r="F11" s="18">
        <v>5</v>
      </c>
      <c r="G11" s="23"/>
      <c r="H11" s="19"/>
      <c r="I11" s="17"/>
      <c r="J11" s="19"/>
      <c r="K11" s="3"/>
      <c r="L11" s="22">
        <v>45750</v>
      </c>
      <c r="M11" s="10">
        <v>45776</v>
      </c>
      <c r="N11" s="9">
        <v>19</v>
      </c>
      <c r="O11" s="11">
        <v>4</v>
      </c>
      <c r="P11" s="9">
        <v>910</v>
      </c>
      <c r="Q11" s="9">
        <v>2</v>
      </c>
    </row>
    <row r="12" spans="1:17">
      <c r="A12" s="3"/>
      <c r="B12" s="20"/>
      <c r="C12" s="20"/>
      <c r="D12" s="15">
        <v>1</v>
      </c>
      <c r="E12" s="11">
        <v>2</v>
      </c>
      <c r="F12" s="15">
        <v>2</v>
      </c>
      <c r="G12" s="23"/>
      <c r="H12" s="3"/>
      <c r="I12" s="17"/>
      <c r="J12" s="3"/>
      <c r="K12" s="3"/>
      <c r="L12" s="17"/>
      <c r="M12" s="17"/>
      <c r="N12" s="17"/>
    </row>
    <row r="13" spans="1:17">
      <c r="A13" s="3"/>
      <c r="B13" s="3"/>
      <c r="C13" s="3"/>
      <c r="D13" s="18">
        <v>2</v>
      </c>
      <c r="E13" s="11">
        <v>4</v>
      </c>
      <c r="F13" s="18">
        <v>1</v>
      </c>
      <c r="G13" s="23"/>
      <c r="H13" s="3"/>
      <c r="I13" s="17"/>
      <c r="J13" s="3"/>
      <c r="K13" s="3"/>
      <c r="L13" s="17"/>
      <c r="M13" s="17"/>
      <c r="N13" s="17"/>
    </row>
    <row r="14" spans="1:17">
      <c r="A14" s="3"/>
      <c r="B14" s="3"/>
      <c r="C14" s="3"/>
      <c r="D14" s="18">
        <v>3</v>
      </c>
      <c r="E14" s="11">
        <v>6</v>
      </c>
      <c r="F14" s="15">
        <v>10</v>
      </c>
      <c r="G14" s="23"/>
      <c r="H14" s="3"/>
      <c r="I14" s="17"/>
      <c r="J14" s="3"/>
      <c r="K14" s="3"/>
      <c r="L14" s="17"/>
      <c r="M14" s="17"/>
      <c r="N14" s="17"/>
    </row>
    <row r="15" spans="1:17">
      <c r="A15" s="3"/>
      <c r="B15" s="3"/>
      <c r="C15" s="3"/>
      <c r="D15" s="18">
        <v>4</v>
      </c>
      <c r="E15" s="11">
        <v>8</v>
      </c>
      <c r="F15" s="18">
        <v>4</v>
      </c>
      <c r="G15" s="23"/>
      <c r="H15" s="3"/>
      <c r="I15" s="17"/>
      <c r="J15" s="3"/>
      <c r="K15" s="3"/>
      <c r="L15" s="17"/>
      <c r="M15" s="17"/>
      <c r="N15" s="17"/>
    </row>
    <row r="16" spans="1:17">
      <c r="A16" s="3"/>
      <c r="B16" s="19"/>
      <c r="C16" s="19"/>
      <c r="D16" s="18">
        <v>5</v>
      </c>
      <c r="E16" s="11">
        <v>2</v>
      </c>
      <c r="F16" s="15">
        <v>2</v>
      </c>
      <c r="G16" s="23"/>
      <c r="H16" s="3"/>
      <c r="I16" s="17"/>
      <c r="J16" s="3"/>
      <c r="K16" s="3"/>
      <c r="L16" s="17"/>
      <c r="M16" s="17"/>
      <c r="N16" s="17"/>
    </row>
    <row r="17" spans="1:14">
      <c r="A17" s="3"/>
      <c r="B17" s="19"/>
      <c r="C17" s="19"/>
      <c r="D17" s="18">
        <v>6</v>
      </c>
      <c r="E17" s="11">
        <v>4</v>
      </c>
      <c r="F17" s="18">
        <v>1</v>
      </c>
      <c r="G17" s="23"/>
      <c r="H17" s="3"/>
      <c r="I17" s="17"/>
      <c r="J17" s="3"/>
      <c r="K17" s="3"/>
      <c r="L17" s="17"/>
      <c r="M17" s="17"/>
      <c r="N17" s="17"/>
    </row>
    <row r="18" spans="1:14">
      <c r="A18" s="3"/>
      <c r="B18" s="19"/>
      <c r="C18" s="19"/>
      <c r="D18" s="18">
        <v>7</v>
      </c>
      <c r="E18" s="11">
        <v>6</v>
      </c>
      <c r="F18" s="15">
        <v>10</v>
      </c>
      <c r="G18" s="23"/>
      <c r="H18" s="3"/>
      <c r="I18" s="17"/>
      <c r="J18" s="3"/>
      <c r="K18" s="3"/>
      <c r="L18" s="17"/>
      <c r="M18" s="17"/>
      <c r="N18" s="17"/>
    </row>
    <row r="19" spans="1:14">
      <c r="A19" s="3"/>
      <c r="B19" s="19"/>
      <c r="C19" s="19"/>
      <c r="D19" s="18">
        <v>8</v>
      </c>
      <c r="E19" s="11">
        <v>8</v>
      </c>
      <c r="F19" s="18">
        <v>4</v>
      </c>
      <c r="G19" s="23"/>
      <c r="H19" s="3"/>
      <c r="I19" s="17"/>
      <c r="J19" s="3"/>
      <c r="K19" s="3"/>
      <c r="L19" s="17"/>
      <c r="M19" s="17"/>
      <c r="N19" s="17"/>
    </row>
    <row r="20" spans="1:14">
      <c r="A20" s="3"/>
      <c r="B20" s="19"/>
      <c r="C20" s="19"/>
      <c r="D20" s="18">
        <v>9</v>
      </c>
      <c r="E20" s="11">
        <v>10</v>
      </c>
      <c r="F20" s="15">
        <v>1</v>
      </c>
      <c r="G20" s="23"/>
      <c r="H20" s="3"/>
      <c r="I20" s="17"/>
      <c r="J20" s="3"/>
      <c r="K20" s="3"/>
      <c r="L20" s="17"/>
      <c r="M20" s="17"/>
      <c r="N20" s="17"/>
    </row>
    <row r="21" spans="1:14">
      <c r="A21" s="3"/>
      <c r="B21" s="3"/>
      <c r="C21" s="3"/>
      <c r="D21" s="18">
        <v>10</v>
      </c>
      <c r="E21" s="11">
        <v>12</v>
      </c>
      <c r="F21" s="18">
        <v>5</v>
      </c>
      <c r="G21" s="23"/>
      <c r="H21" s="3"/>
      <c r="I21" s="17"/>
      <c r="J21" s="3"/>
      <c r="K21" s="3"/>
      <c r="L21" s="17"/>
      <c r="M21" s="17"/>
      <c r="N21" s="17"/>
    </row>
    <row r="22" spans="1:14">
      <c r="A22" s="3"/>
      <c r="B22" s="3"/>
      <c r="C22" s="3"/>
      <c r="D22" s="23"/>
      <c r="E22" s="6"/>
      <c r="F22" s="19"/>
      <c r="G22" s="3"/>
      <c r="H22" s="3"/>
      <c r="I22" s="17"/>
      <c r="J22" s="3"/>
      <c r="K22" s="3"/>
      <c r="L22" s="17"/>
      <c r="M22" s="17"/>
      <c r="N22" s="17"/>
    </row>
    <row r="23" spans="1:14" ht="31.5">
      <c r="A23" s="3"/>
      <c r="B23" s="3"/>
      <c r="C23" s="3"/>
      <c r="D23" s="23"/>
      <c r="E23" s="6"/>
      <c r="F23" s="19"/>
      <c r="G23" s="3"/>
      <c r="H23" s="3"/>
      <c r="I23" s="17"/>
      <c r="J23" s="3"/>
      <c r="K23" s="1" t="s">
        <v>95</v>
      </c>
      <c r="L23" s="1" t="s">
        <v>96</v>
      </c>
      <c r="M23" s="17"/>
      <c r="N23" s="17"/>
    </row>
    <row r="24" spans="1:14">
      <c r="A24" s="3"/>
      <c r="B24" s="3"/>
      <c r="C24" s="3"/>
      <c r="D24" s="23"/>
      <c r="E24" s="6"/>
      <c r="F24" s="19"/>
      <c r="G24" s="3"/>
      <c r="H24" s="3"/>
      <c r="I24" s="17"/>
      <c r="J24" s="3"/>
      <c r="K24" s="2">
        <v>1</v>
      </c>
      <c r="L24" s="9" t="s">
        <v>176</v>
      </c>
      <c r="M24" s="17"/>
      <c r="N24" s="17"/>
    </row>
    <row r="25" spans="1:14">
      <c r="A25" s="3"/>
      <c r="B25" s="3"/>
      <c r="C25" s="3"/>
      <c r="D25" s="23"/>
      <c r="E25" s="6"/>
      <c r="F25" s="19"/>
      <c r="G25" s="3"/>
      <c r="H25" s="3"/>
      <c r="I25" s="17"/>
      <c r="J25" s="3"/>
      <c r="K25" s="9">
        <v>2</v>
      </c>
      <c r="L25" s="9" t="s">
        <v>177</v>
      </c>
      <c r="M25" s="17"/>
      <c r="N25" s="17"/>
    </row>
    <row r="26" spans="1:14">
      <c r="A26" s="3"/>
      <c r="B26" s="3"/>
      <c r="C26" s="3"/>
      <c r="D26" s="23"/>
      <c r="E26" s="6"/>
      <c r="F26" s="19"/>
      <c r="G26" s="3"/>
      <c r="H26" s="3"/>
      <c r="I26" s="17"/>
      <c r="J26" s="3"/>
      <c r="K26" s="9">
        <v>3</v>
      </c>
      <c r="L26" s="9" t="s">
        <v>178</v>
      </c>
      <c r="M26" s="17"/>
      <c r="N26" s="17"/>
    </row>
    <row r="27" spans="1:14">
      <c r="A27" s="3"/>
      <c r="B27" s="3"/>
      <c r="C27" s="3"/>
      <c r="D27" s="23"/>
      <c r="E27" s="6"/>
      <c r="F27" s="19"/>
      <c r="G27" s="3"/>
      <c r="H27" s="3"/>
      <c r="I27" s="17"/>
      <c r="J27" s="3"/>
      <c r="K27" s="9">
        <v>4</v>
      </c>
      <c r="L27" s="9" t="s">
        <v>179</v>
      </c>
      <c r="M27" s="17"/>
      <c r="N27" s="17"/>
    </row>
    <row r="28" spans="1:14">
      <c r="A28" s="3"/>
      <c r="B28" s="3"/>
      <c r="C28" s="3"/>
      <c r="D28" s="23"/>
      <c r="E28" s="6"/>
      <c r="F28" s="19"/>
      <c r="G28" s="3"/>
      <c r="H28" s="3"/>
      <c r="I28" s="17"/>
      <c r="J28" s="3"/>
      <c r="K28" s="9">
        <v>5</v>
      </c>
      <c r="L28" s="9" t="s">
        <v>176</v>
      </c>
      <c r="M28" s="17"/>
      <c r="N28" s="17"/>
    </row>
    <row r="29" spans="1:14">
      <c r="A29" s="3"/>
      <c r="B29" s="3"/>
      <c r="C29" s="3"/>
      <c r="D29" s="23"/>
      <c r="E29" s="6"/>
      <c r="F29" s="19"/>
      <c r="G29" s="3"/>
      <c r="H29" s="3"/>
      <c r="I29" s="17"/>
      <c r="J29" s="3"/>
      <c r="K29" s="9">
        <v>6</v>
      </c>
      <c r="L29" s="9" t="s">
        <v>177</v>
      </c>
      <c r="M29" s="17"/>
      <c r="N29" s="17"/>
    </row>
    <row r="30" spans="1:14">
      <c r="A30" s="3"/>
      <c r="B30" s="3"/>
      <c r="C30" s="3"/>
      <c r="D30" s="3"/>
      <c r="E30" s="3"/>
      <c r="F30" s="3"/>
      <c r="G30" s="3"/>
      <c r="H30" s="3"/>
      <c r="I30" s="17"/>
      <c r="J30" s="3"/>
      <c r="K30" s="9">
        <v>7</v>
      </c>
      <c r="L30" s="9" t="s">
        <v>178</v>
      </c>
      <c r="M30" s="17"/>
      <c r="N30" s="17"/>
    </row>
    <row r="31" spans="1:14">
      <c r="A31" s="3"/>
      <c r="B31" s="3"/>
      <c r="C31" s="3"/>
      <c r="D31" s="3"/>
      <c r="E31" s="3"/>
      <c r="F31" s="3"/>
      <c r="G31" s="3"/>
      <c r="H31" s="3"/>
      <c r="I31" s="17"/>
      <c r="J31" s="3"/>
      <c r="K31" s="9">
        <v>8</v>
      </c>
      <c r="L31" s="9" t="s">
        <v>179</v>
      </c>
      <c r="M31" s="17"/>
      <c r="N31" s="17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9">
        <v>9</v>
      </c>
      <c r="L32" s="9" t="s">
        <v>180</v>
      </c>
      <c r="M32" s="3"/>
      <c r="N32" s="1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9">
        <v>10</v>
      </c>
      <c r="L33" s="9" t="s">
        <v>181</v>
      </c>
      <c r="M33" s="3"/>
      <c r="N33" s="1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1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1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1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1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1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1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1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1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1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1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1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1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13"/>
    </row>
    <row r="47" spans="1:14">
      <c r="A47" s="3"/>
      <c r="B47" s="3"/>
      <c r="C47" s="3"/>
      <c r="D47" s="3"/>
      <c r="E47" s="11" t="s">
        <v>172</v>
      </c>
      <c r="F47" s="6" t="s">
        <v>173</v>
      </c>
      <c r="G47" s="19" t="e">
        <f>MATCH(E47,$E$20:$E$29,0)</f>
        <v>#N/A</v>
      </c>
      <c r="H47" s="3"/>
      <c r="I47" s="3"/>
      <c r="J47" s="3"/>
      <c r="K47" s="3"/>
      <c r="L47" s="3"/>
      <c r="M47" s="3"/>
      <c r="N47" s="13"/>
    </row>
    <row r="48" spans="1:14">
      <c r="A48" s="3"/>
      <c r="B48" s="3"/>
      <c r="C48" s="3"/>
      <c r="D48" s="3"/>
      <c r="E48" s="11" t="s">
        <v>173</v>
      </c>
      <c r="F48" s="6" t="s">
        <v>174</v>
      </c>
      <c r="G48" s="19" t="e">
        <f t="shared" ref="G48:G56" si="0">MATCH(E48,$E$20:$E$29,0)</f>
        <v>#N/A</v>
      </c>
      <c r="H48" s="3"/>
      <c r="I48" s="3"/>
      <c r="J48" s="3"/>
      <c r="K48" s="3"/>
      <c r="L48" s="3"/>
      <c r="M48" s="3"/>
      <c r="N48" s="13"/>
    </row>
    <row r="49" spans="1:14">
      <c r="A49" s="3"/>
      <c r="B49" s="3"/>
      <c r="C49" s="3"/>
      <c r="D49" s="3"/>
      <c r="E49" s="11" t="s">
        <v>174</v>
      </c>
      <c r="F49" s="6" t="s">
        <v>175</v>
      </c>
      <c r="G49" s="19" t="e">
        <f t="shared" si="0"/>
        <v>#N/A</v>
      </c>
      <c r="H49" s="3"/>
      <c r="I49" s="3"/>
      <c r="J49" s="3"/>
      <c r="K49" s="3"/>
      <c r="L49" s="3"/>
      <c r="M49" s="3"/>
      <c r="N49" s="13"/>
    </row>
    <row r="50" spans="1:14">
      <c r="A50" s="3"/>
      <c r="B50" s="3"/>
      <c r="C50" s="3"/>
      <c r="D50" s="3"/>
      <c r="E50" s="11" t="s">
        <v>175</v>
      </c>
      <c r="F50" s="6" t="s">
        <v>172</v>
      </c>
      <c r="G50" s="19" t="e">
        <f t="shared" si="0"/>
        <v>#N/A</v>
      </c>
      <c r="H50" s="3"/>
      <c r="I50" s="3"/>
      <c r="J50" s="3"/>
      <c r="K50" s="3"/>
      <c r="L50" s="3"/>
      <c r="M50" s="3"/>
      <c r="N50" s="13"/>
    </row>
    <row r="51" spans="1:14">
      <c r="A51" s="3"/>
      <c r="B51" s="3"/>
      <c r="C51" s="3"/>
      <c r="D51" s="3"/>
      <c r="E51" s="11" t="s">
        <v>172</v>
      </c>
      <c r="F51" s="6" t="s">
        <v>182</v>
      </c>
      <c r="G51" s="19" t="e">
        <f t="shared" si="0"/>
        <v>#N/A</v>
      </c>
      <c r="H51" s="3"/>
      <c r="I51" s="3"/>
      <c r="J51" s="3"/>
      <c r="K51" s="3"/>
      <c r="L51" s="3"/>
      <c r="M51" s="3"/>
      <c r="N51" s="13"/>
    </row>
    <row r="52" spans="1:14">
      <c r="A52" s="3"/>
      <c r="B52" s="3"/>
      <c r="C52" s="3"/>
      <c r="D52" s="3"/>
      <c r="E52" s="11" t="s">
        <v>173</v>
      </c>
      <c r="F52" s="6" t="s">
        <v>183</v>
      </c>
      <c r="G52" s="19" t="e">
        <f t="shared" si="0"/>
        <v>#N/A</v>
      </c>
      <c r="H52" s="3"/>
      <c r="I52" s="3"/>
      <c r="J52" s="3"/>
      <c r="K52" s="3"/>
      <c r="L52" s="3"/>
      <c r="M52" s="3"/>
      <c r="N52" s="13"/>
    </row>
    <row r="53" spans="1:14">
      <c r="A53" s="3"/>
      <c r="B53" s="3"/>
      <c r="C53" s="3"/>
      <c r="D53" s="3"/>
      <c r="E53" s="11" t="s">
        <v>174</v>
      </c>
      <c r="F53" s="6" t="s">
        <v>184</v>
      </c>
      <c r="G53" s="19" t="e">
        <f t="shared" si="0"/>
        <v>#N/A</v>
      </c>
      <c r="H53" s="3"/>
      <c r="I53" s="3"/>
      <c r="J53" s="3"/>
      <c r="K53" s="3"/>
      <c r="L53" s="3"/>
      <c r="M53" s="3"/>
      <c r="N53" s="13"/>
    </row>
    <row r="54" spans="1:14">
      <c r="A54" s="3"/>
      <c r="B54" s="3"/>
      <c r="C54" s="3"/>
      <c r="D54" s="3"/>
      <c r="E54" s="11" t="s">
        <v>175</v>
      </c>
      <c r="F54" s="6" t="s">
        <v>185</v>
      </c>
      <c r="G54" s="19" t="e">
        <f t="shared" si="0"/>
        <v>#N/A</v>
      </c>
      <c r="H54" s="3"/>
      <c r="I54" s="3"/>
      <c r="J54" s="3"/>
      <c r="K54" s="3"/>
      <c r="L54" s="3"/>
      <c r="M54" s="3"/>
      <c r="N54" s="13"/>
    </row>
    <row r="55" spans="1:14">
      <c r="E55" s="11" t="s">
        <v>172</v>
      </c>
      <c r="F55" s="6" t="s">
        <v>182</v>
      </c>
      <c r="G55" s="19" t="e">
        <f t="shared" si="0"/>
        <v>#N/A</v>
      </c>
    </row>
    <row r="56" spans="1:14">
      <c r="E56" s="11" t="s">
        <v>172</v>
      </c>
      <c r="F56" s="6" t="s">
        <v>183</v>
      </c>
      <c r="G56" s="19" t="e">
        <f t="shared" si="0"/>
        <v>#N/A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EDBB-F81B-4994-843C-95C3E64B574A}">
  <dimension ref="B1:E36"/>
  <sheetViews>
    <sheetView workbookViewId="0">
      <selection activeCell="C2" sqref="C2"/>
    </sheetView>
  </sheetViews>
  <sheetFormatPr defaultColWidth="11.25" defaultRowHeight="15.75"/>
  <cols>
    <col min="2" max="2" width="10.875" customWidth="1"/>
    <col min="3" max="3" width="20.375" bestFit="1" customWidth="1"/>
    <col min="4" max="4" width="21" bestFit="1" customWidth="1"/>
  </cols>
  <sheetData>
    <row r="1" spans="2:5">
      <c r="B1" s="12">
        <v>420151</v>
      </c>
      <c r="C1" t="s">
        <v>147</v>
      </c>
      <c r="D1" t="s">
        <v>122</v>
      </c>
      <c r="E1">
        <v>32</v>
      </c>
    </row>
    <row r="2" spans="2:5">
      <c r="B2" s="12">
        <v>125061</v>
      </c>
      <c r="C2" t="s">
        <v>147</v>
      </c>
      <c r="D2" t="s">
        <v>117</v>
      </c>
      <c r="E2">
        <v>8</v>
      </c>
    </row>
    <row r="3" spans="2:5">
      <c r="B3" s="12">
        <v>630370</v>
      </c>
      <c r="C3" t="s">
        <v>147</v>
      </c>
      <c r="D3" t="s">
        <v>118</v>
      </c>
      <c r="E3">
        <v>24</v>
      </c>
    </row>
    <row r="4" spans="2:5">
      <c r="B4" s="12">
        <v>400562</v>
      </c>
      <c r="C4" t="s">
        <v>147</v>
      </c>
      <c r="D4" t="s">
        <v>119</v>
      </c>
      <c r="E4">
        <v>32</v>
      </c>
    </row>
    <row r="5" spans="2:5">
      <c r="B5" s="12">
        <v>614510</v>
      </c>
      <c r="C5" t="s">
        <v>147</v>
      </c>
      <c r="D5" t="s">
        <v>120</v>
      </c>
      <c r="E5">
        <v>47</v>
      </c>
    </row>
    <row r="6" spans="2:5">
      <c r="B6" s="12">
        <v>410542</v>
      </c>
      <c r="C6" t="s">
        <v>147</v>
      </c>
      <c r="D6" t="s">
        <v>121</v>
      </c>
      <c r="E6">
        <v>46</v>
      </c>
    </row>
    <row r="7" spans="2:5">
      <c r="B7" s="12">
        <v>620839</v>
      </c>
      <c r="C7" t="s">
        <v>147</v>
      </c>
      <c r="D7" t="s">
        <v>123</v>
      </c>
      <c r="E7">
        <v>8</v>
      </c>
    </row>
    <row r="8" spans="2:5">
      <c r="B8" s="12">
        <v>443890</v>
      </c>
      <c r="C8" t="s">
        <v>147</v>
      </c>
      <c r="D8" t="s">
        <v>124</v>
      </c>
      <c r="E8">
        <v>1</v>
      </c>
    </row>
    <row r="9" spans="2:5">
      <c r="B9" s="12">
        <v>603379</v>
      </c>
      <c r="C9" t="s">
        <v>147</v>
      </c>
      <c r="D9" t="s">
        <v>125</v>
      </c>
      <c r="E9">
        <v>46</v>
      </c>
    </row>
    <row r="10" spans="2:5">
      <c r="B10" s="12">
        <v>603721</v>
      </c>
      <c r="C10" t="s">
        <v>147</v>
      </c>
      <c r="D10" t="s">
        <v>126</v>
      </c>
      <c r="E10">
        <v>41</v>
      </c>
    </row>
    <row r="11" spans="2:5">
      <c r="B11" s="12">
        <v>410172</v>
      </c>
      <c r="C11" t="s">
        <v>147</v>
      </c>
      <c r="D11" t="s">
        <v>127</v>
      </c>
      <c r="E11">
        <v>13</v>
      </c>
    </row>
    <row r="12" spans="2:5">
      <c r="B12" s="12">
        <v>614611</v>
      </c>
      <c r="C12" t="s">
        <v>147</v>
      </c>
      <c r="D12" t="s">
        <v>128</v>
      </c>
      <c r="E12">
        <v>50</v>
      </c>
    </row>
    <row r="13" spans="2:5">
      <c r="B13" s="12">
        <v>454311</v>
      </c>
      <c r="C13" t="s">
        <v>147</v>
      </c>
      <c r="D13" t="s">
        <v>129</v>
      </c>
      <c r="E13">
        <v>19</v>
      </c>
    </row>
    <row r="14" spans="2:5">
      <c r="B14" s="12">
        <v>660007</v>
      </c>
      <c r="C14" t="s">
        <v>147</v>
      </c>
      <c r="D14" t="s">
        <v>130</v>
      </c>
      <c r="E14">
        <v>19</v>
      </c>
    </row>
    <row r="15" spans="2:5">
      <c r="B15" s="12">
        <v>603036</v>
      </c>
      <c r="C15" t="s">
        <v>147</v>
      </c>
      <c r="D15" t="s">
        <v>131</v>
      </c>
      <c r="E15">
        <v>4</v>
      </c>
    </row>
    <row r="16" spans="2:5">
      <c r="B16" s="12">
        <v>394060</v>
      </c>
      <c r="C16" t="s">
        <v>147</v>
      </c>
      <c r="D16" t="s">
        <v>132</v>
      </c>
      <c r="E16">
        <v>43</v>
      </c>
    </row>
    <row r="17" spans="2:5">
      <c r="B17" s="12">
        <v>410661</v>
      </c>
      <c r="C17" t="s">
        <v>147</v>
      </c>
      <c r="D17" t="s">
        <v>133</v>
      </c>
      <c r="E17">
        <v>50</v>
      </c>
    </row>
    <row r="18" spans="2:5">
      <c r="B18" s="12">
        <v>625590</v>
      </c>
      <c r="C18" t="s">
        <v>147</v>
      </c>
      <c r="D18" t="s">
        <v>124</v>
      </c>
      <c r="E18">
        <v>20</v>
      </c>
    </row>
    <row r="19" spans="2:5">
      <c r="B19" s="12">
        <v>625683</v>
      </c>
      <c r="C19" t="s">
        <v>147</v>
      </c>
      <c r="D19" t="s">
        <v>134</v>
      </c>
    </row>
    <row r="20" spans="2:5">
      <c r="B20" s="12">
        <v>450983</v>
      </c>
      <c r="C20" t="s">
        <v>147</v>
      </c>
      <c r="D20" t="s">
        <v>135</v>
      </c>
      <c r="E20">
        <v>26</v>
      </c>
    </row>
    <row r="21" spans="2:5">
      <c r="B21" s="12">
        <v>394782</v>
      </c>
      <c r="C21" t="s">
        <v>147</v>
      </c>
      <c r="D21" t="s">
        <v>136</v>
      </c>
      <c r="E21">
        <v>3</v>
      </c>
    </row>
    <row r="22" spans="2:5">
      <c r="B22" s="12">
        <v>603002</v>
      </c>
      <c r="C22" t="s">
        <v>147</v>
      </c>
      <c r="D22" t="s">
        <v>137</v>
      </c>
      <c r="E22">
        <v>28</v>
      </c>
    </row>
    <row r="23" spans="2:5">
      <c r="B23" s="12">
        <v>450558</v>
      </c>
      <c r="C23" t="s">
        <v>147</v>
      </c>
      <c r="D23" t="s">
        <v>138</v>
      </c>
      <c r="E23">
        <v>30</v>
      </c>
    </row>
    <row r="24" spans="2:5">
      <c r="B24" s="12">
        <v>344288</v>
      </c>
      <c r="C24" t="s">
        <v>147</v>
      </c>
      <c r="D24" t="s">
        <v>136</v>
      </c>
      <c r="E24">
        <v>1</v>
      </c>
    </row>
    <row r="25" spans="2:5">
      <c r="B25" s="12">
        <v>614164</v>
      </c>
      <c r="C25" t="s">
        <v>148</v>
      </c>
      <c r="D25" t="s">
        <v>139</v>
      </c>
      <c r="E25">
        <v>30</v>
      </c>
    </row>
    <row r="26" spans="2:5">
      <c r="B26" s="12">
        <v>394242</v>
      </c>
      <c r="C26" t="s">
        <v>147</v>
      </c>
      <c r="D26" t="s">
        <v>124</v>
      </c>
      <c r="E26">
        <v>43</v>
      </c>
    </row>
    <row r="27" spans="2:5">
      <c r="B27" s="12">
        <v>660540</v>
      </c>
      <c r="C27" t="s">
        <v>147</v>
      </c>
      <c r="D27" t="s">
        <v>140</v>
      </c>
      <c r="E27">
        <v>25</v>
      </c>
    </row>
    <row r="28" spans="2:5">
      <c r="B28" s="12">
        <v>125837</v>
      </c>
      <c r="C28" t="s">
        <v>147</v>
      </c>
      <c r="D28" t="s">
        <v>118</v>
      </c>
      <c r="E28">
        <v>40</v>
      </c>
    </row>
    <row r="29" spans="2:5">
      <c r="B29" s="12">
        <v>125703</v>
      </c>
      <c r="C29" t="s">
        <v>147</v>
      </c>
      <c r="D29" t="s">
        <v>141</v>
      </c>
      <c r="E29">
        <v>49</v>
      </c>
    </row>
    <row r="30" spans="2:5">
      <c r="B30" s="12">
        <v>625283</v>
      </c>
      <c r="C30" t="s">
        <v>147</v>
      </c>
      <c r="D30" t="s">
        <v>142</v>
      </c>
      <c r="E30">
        <v>46</v>
      </c>
    </row>
    <row r="31" spans="2:5">
      <c r="B31" s="12">
        <v>614753</v>
      </c>
      <c r="C31" t="s">
        <v>147</v>
      </c>
      <c r="D31" t="s">
        <v>143</v>
      </c>
      <c r="E31">
        <v>35</v>
      </c>
    </row>
    <row r="32" spans="2:5">
      <c r="B32" s="12">
        <v>426030</v>
      </c>
      <c r="C32" t="s">
        <v>147</v>
      </c>
      <c r="D32" t="s">
        <v>120</v>
      </c>
      <c r="E32">
        <v>44</v>
      </c>
    </row>
    <row r="33" spans="2:5">
      <c r="B33" s="12">
        <v>450375</v>
      </c>
      <c r="C33" t="s">
        <v>149</v>
      </c>
      <c r="D33" t="s">
        <v>144</v>
      </c>
      <c r="E33">
        <v>44</v>
      </c>
    </row>
    <row r="34" spans="2:5">
      <c r="B34" s="12">
        <v>625560</v>
      </c>
      <c r="C34" t="s">
        <v>147</v>
      </c>
      <c r="D34" t="s">
        <v>145</v>
      </c>
      <c r="E34">
        <v>12</v>
      </c>
    </row>
    <row r="35" spans="2:5">
      <c r="B35" s="12">
        <v>630201</v>
      </c>
      <c r="C35" t="s">
        <v>147</v>
      </c>
      <c r="D35" t="s">
        <v>135</v>
      </c>
      <c r="E35">
        <v>17</v>
      </c>
    </row>
    <row r="36" spans="2:5">
      <c r="B36" s="12">
        <v>190949</v>
      </c>
      <c r="C36" t="s">
        <v>147</v>
      </c>
      <c r="D36" t="s">
        <v>146</v>
      </c>
      <c r="E3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товар</vt:lpstr>
      <vt:lpstr>юзер импорт</vt:lpstr>
      <vt:lpstr>заказ</vt:lpstr>
      <vt:lpstr>пункты выдачи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Студент</cp:lastModifiedBy>
  <dcterms:created xsi:type="dcterms:W3CDTF">2022-01-17T17:43:46Z</dcterms:created>
  <dcterms:modified xsi:type="dcterms:W3CDTF">2026-05-22T08:03:35Z</dcterms:modified>
</cp:coreProperties>
</file>